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0c2f304a4a04489" /></Relationships>
</file>

<file path=xl/workbook.xml><?xml version="1.0" encoding="utf-8"?>
<x:workbook xmlns:x="http://schemas.openxmlformats.org/spreadsheetml/2006/main">
  <x:sheets>
    <x:sheet xmlns:r="http://schemas.openxmlformats.org/officeDocument/2006/relationships" name="Summary" sheetId="1" r:id="R15d0fda6ab254b2f"/>
    <x:sheet xmlns:r="http://schemas.openxmlformats.org/officeDocument/2006/relationships" name="Bug Register" sheetId="2" r:id="R44ba07fc41e34390"/>
    <x:sheet xmlns:r="http://schemas.openxmlformats.org/officeDocument/2006/relationships" name="Source Index" sheetId="3" r:id="R41f5aa06dc78491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0">
    <x:font>
      <x:sz val="11"/>
      <x:name val="Carlito"/>
    </x:font>
    <x:font>
      <x:b/>
      <x:sz val="16"/>
      <x:color rgb="FF17365D"/>
      <x:name val="Arial"/>
    </x:font>
    <x:font>
      <x:b/>
      <x:sz val="11"/>
      <x:color rgb="FFFFFFFF"/>
      <x:name val="Arial"/>
    </x:font>
    <x:font>
      <x:sz val="10"/>
      <x:name val="Arial"/>
    </x:font>
    <x:font>
      <x:b/>
      <x:sz val="11"/>
      <x:color rgb="FF17365D"/>
      <x:name val="Arial"/>
    </x:font>
    <x:font>
      <x:i/>
      <x:sz val="9"/>
      <x:color rgb="FF595959"/>
      <x:name val="Arial"/>
    </x:font>
    <x:font>
      <x:sz val="11"/>
      <x:name val="Arial"/>
    </x:font>
    <x:font>
      <x:b/>
      <x:sz val="10"/>
      <x:color rgb="FFFFFFFF"/>
      <x:name val="Arial"/>
    </x:font>
    <x:font>
      <x:sz val="9"/>
      <x:color rgb="FF222222"/>
      <x:name val="Arial"/>
    </x:font>
    <x:font>
      <x:sz val="9"/>
      <x:name val="Arial"/>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3F6F9"/>
      </x:patternFill>
    </x:fill>
  </x:fills>
  <x:borders count="7">
    <x:border/>
    <x:border>
      <x:bottom style="thin">
        <x:color rgb="FF1F4E78"/>
      </x:bottom>
    </x:border>
    <x:border>
      <x:left style="thin">
        <x:color rgb="FFD9E2F3"/>
      </x:left>
      <x:right style="thin">
        <x:color rgb="FFD9E2F3"/>
      </x:right>
      <x:top style="thin">
        <x:color rgb="FFD9E2F3"/>
      </x:top>
      <x:bottom style="thin">
        <x:color rgb="FFD9E2F3"/>
      </x:bottom>
    </x:border>
    <x:border>
      <x:left style="thin">
        <x:color rgb="FFFFFFFF"/>
      </x:left>
      <x:right style="thin">
        <x:color rgb="FFFFFFFF"/>
      </x:right>
      <x:top style="thin">
        <x:color rgb="FFFFFFFF"/>
      </x:top>
      <x:bottom style="thin">
        <x:color rgb="FFFFFFFF"/>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4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0" fillId="0" borderId="1" xfId="0" applyNumberFormat="1" applyFont="1" applyFill="1" applyBorder="1"/>
    <x:xf numFmtId="0" fontId="0" fillId="0" borderId="2" xfId="0" applyNumberFormat="1" applyFont="1" applyFill="1" applyBorder="1"/>
    <x:xf numFmtId="0" fontId="0" fillId="2" borderId="2" xfId="0" applyNumberFormat="1" applyFont="1" applyFill="1" applyBorder="1"/>
    <x:xf numFmtId="0" fontId="2" fillId="2" borderId="2" xfId="0" applyNumberFormat="1" applyFont="1" applyFill="1" applyBorder="1"/>
    <x:xf numFmtId="0" fontId="2" fillId="2" borderId="2" xfId="0" applyNumberFormat="1" applyFont="1" applyFill="1" applyBorder="1" applyAlignment="1">
      <x:alignment horizontal="center"/>
    </x:xf>
    <x:xf numFmtId="0" fontId="3" fillId="0" borderId="2" xfId="0" applyNumberFormat="1" applyFont="1" applyFill="1" applyBorder="1"/>
    <x:xf numFmtId="0" fontId="3" fillId="0" borderId="0" xfId="0" applyNumberFormat="1" applyFont="1" applyFill="1" applyBorder="1"/>
    <x:xf numFmtId="200" fontId="3" fillId="0" borderId="2"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0" fillId="2" borderId="0" xfId="0" applyNumberFormat="1" applyFont="1" applyFill="1" applyBorder="1"/>
    <x:xf numFmtId="0" fontId="7" fillId="2" borderId="0" xfId="0" applyNumberFormat="1" applyFont="1" applyFill="1" applyBorder="1"/>
    <x:xf numFmtId="0" fontId="7" fillId="2" borderId="3" xfId="0" applyNumberFormat="1" applyFont="1" applyFill="1" applyBorder="1"/>
    <x:xf numFmtId="0" fontId="7" fillId="2" borderId="3" xfId="0" applyNumberFormat="1" applyFont="1" applyFill="1" applyBorder="1" applyAlignment="1">
      <x:alignment wrapText="1"/>
    </x:xf>
    <x:xf numFmtId="0" fontId="7" fillId="2" borderId="3" xfId="0" applyNumberFormat="1" applyFont="1" applyFill="1" applyBorder="1" applyAlignment="1">
      <x:alignment horizontal="center" wrapText="1"/>
    </x:xf>
    <x:xf numFmtId="0" fontId="7" fillId="2" borderId="3" xfId="0" applyNumberFormat="1" applyFont="1" applyFill="1" applyBorder="1" applyAlignment="1">
      <x:alignment horizontal="center" vertical="center" wrapText="1"/>
    </x:xf>
    <x:xf numFmtId="0" fontId="8" fillId="0" borderId="0" xfId="0" applyNumberFormat="1" applyFont="1" applyFill="1" applyBorder="1"/>
    <x:xf numFmtId="0" fontId="8" fillId="0" borderId="4" xfId="0" applyNumberFormat="1" applyFont="1" applyFill="1" applyBorder="1"/>
    <x:xf numFmtId="0" fontId="8" fillId="0" borderId="5" xfId="0" applyNumberFormat="1" applyFont="1" applyFill="1" applyBorder="1"/>
    <x:xf numFmtId="0" fontId="8" fillId="0" borderId="4" xfId="0" applyNumberFormat="1" applyFont="1" applyFill="1" applyBorder="1" applyAlignment="1">
      <x:alignment wrapText="1"/>
    </x:xf>
    <x:xf numFmtId="0" fontId="8" fillId="0" borderId="5" xfId="0" applyNumberFormat="1" applyFont="1" applyFill="1" applyBorder="1" applyAlignment="1">
      <x:alignment wrapText="1"/>
    </x:xf>
    <x:xf numFmtId="0" fontId="8" fillId="0" borderId="4"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8" fillId="0" borderId="4" xfId="0" applyNumberFormat="1" applyFont="1" applyFill="1" applyBorder="1" applyAlignment="1">
      <x:alignment vertical="center" wrapText="1"/>
    </x:xf>
    <x:xf numFmtId="0" fontId="8" fillId="0" borderId="5" xfId="0" applyNumberFormat="1" applyFont="1" applyFill="1" applyBorder="1" applyAlignment="1">
      <x:alignment vertical="center" wrapText="1"/>
    </x:xf>
    <x:xf numFmtId="0" fontId="7" fillId="2" borderId="0" xfId="0" applyNumberFormat="1" applyFont="1" applyFill="1" applyBorder="1" applyAlignment="1">
      <x:alignment wrapText="1"/>
    </x:xf>
    <x:xf numFmtId="0" fontId="7" fillId="2" borderId="0" xfId="0" applyNumberFormat="1" applyFont="1" applyFill="1" applyBorder="1" applyAlignment="1">
      <x:alignment horizontal="center" wrapText="1"/>
    </x:xf>
    <x:xf numFmtId="0" fontId="9" fillId="0" borderId="0" xfId="0" applyNumberFormat="1" applyFont="1" applyFill="1" applyBorder="1"/>
    <x:xf numFmtId="0" fontId="9" fillId="0" borderId="4" xfId="0" applyNumberFormat="1" applyFont="1" applyFill="1" applyBorder="1"/>
    <x:xf numFmtId="0" fontId="9" fillId="0" borderId="5" xfId="0" applyNumberFormat="1" applyFont="1" applyFill="1" applyBorder="1"/>
    <x:xf numFmtId="0" fontId="9" fillId="0" borderId="6" xfId="0" applyNumberFormat="1" applyFont="1" applyFill="1" applyBorder="1"/>
    <x:xf numFmtId="0" fontId="9" fillId="0" borderId="4" xfId="0" applyNumberFormat="1" applyFont="1" applyFill="1" applyBorder="1" applyAlignment="1">
      <x:alignment wrapText="1"/>
    </x:xf>
    <x:xf numFmtId="0" fontId="9" fillId="0" borderId="5" xfId="0" applyNumberFormat="1" applyFont="1" applyFill="1" applyBorder="1" applyAlignment="1">
      <x:alignment wrapText="1"/>
    </x:xf>
    <x:xf numFmtId="0" fontId="9" fillId="0" borderId="6" xfId="0" applyNumberFormat="1" applyFont="1" applyFill="1" applyBorder="1" applyAlignment="1">
      <x:alignment wrapText="1"/>
    </x:xf>
    <x:xf numFmtId="0" fontId="9" fillId="0" borderId="4" xfId="0" applyNumberFormat="1" applyFont="1" applyFill="1" applyBorder="1" applyAlignment="1">
      <x:alignment vertical="top" wrapText="1"/>
    </x:xf>
    <x:xf numFmtId="0" fontId="9" fillId="0" borderId="5" xfId="0" applyNumberFormat="1" applyFont="1" applyFill="1" applyBorder="1" applyAlignment="1">
      <x:alignment vertical="top" wrapText="1"/>
    </x:xf>
    <x:xf numFmtId="0" fontId="9" fillId="0" borderId="6" xfId="0" applyNumberFormat="1" applyFont="1" applyFill="1" applyBorder="1" applyAlignment="1">
      <x:alignment vertical="top" wrapText="1"/>
    </x:xf>
  </x:cellXfs>
  <x:cellStyles count="1">
    <x:cellStyle name="Normal" xfId="0"/>
  </x:cellStyles>
  <x:dxfs count="4">
    <x:dxf>
      <x:font>
        <x:b/>
        <x:color rgb="FF9C0006"/>
      </x:font>
      <x:fill>
        <x:patternFill patternType="solid">
          <x:bgColor rgb="FFF4CCCC"/>
        </x:patternFill>
      </x:fill>
    </x:dxf>
    <x:dxf>
      <x:font>
        <x:b/>
        <x:color rgb="FF9C5700"/>
      </x:font>
      <x:fill>
        <x:patternFill patternType="solid">
          <x:bgColor rgb="FFFCE5CD"/>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d9160ee4d534968" /><Relationship Type="http://schemas.openxmlformats.org/officeDocument/2006/relationships/theme" Target="/xl/theme/theme1.xml" Id="R49ee8e46e86a4b44" /><Relationship Type="http://schemas.openxmlformats.org/officeDocument/2006/relationships/sharedStrings" Target="/xl/sharedStrings.xml" Id="R2de39aaf2dc84a58" /><Relationship Type="http://schemas.openxmlformats.org/officeDocument/2006/relationships/worksheet" Target="/xl/worksheets/sheet1.xml" Id="R15d0fda6ab254b2f" /><Relationship Type="http://schemas.openxmlformats.org/officeDocument/2006/relationships/worksheet" Target="/xl/worksheets/sheet2.xml" Id="R44ba07fc41e34390" /><Relationship Type="http://schemas.openxmlformats.org/officeDocument/2006/relationships/worksheet" Target="/xl/worksheets/sheet3.xml" Id="R41f5aa06dc784916" /></Relationships>
</file>

<file path=xl/tables/table1.xml><?xml version="1.0" encoding="utf-8"?>
<x:table xmlns:x="http://schemas.openxmlformats.org/spreadsheetml/2006/main" id="1" name="BugRegisterTable" displayName="BugRegisterTable" ref="A4:T26" headerRowCount="1" totalsRowCount="0" totalsRowShown="0">
  <x:autoFilter ref="A4:T26"/>
  <x:tableColumns count="20">
    <x:tableColumn id="1" name="Bug ID"/>
    <x:tableColumn id="2" name="Title"/>
    <x:tableColumn id="3" name="Module"/>
    <x:tableColumn id="4" name="Bug Type"/>
    <x:tableColumn id="5" name="Status"/>
    <x:tableColumn id="6" name="Severity"/>
    <x:tableColumn id="7" name="Priority"/>
    <x:tableColumn id="8" name="Summary"/>
    <x:tableColumn id="9" name="Preconditions"/>
    <x:tableColumn id="10" name="Steps to Reproduce"/>
    <x:tableColumn id="11" name="Expected Result"/>
    <x:tableColumn id="12" name="Actual Result"/>
    <x:tableColumn id="13" name="Related Tests"/>
    <x:tableColumn id="14" name="Technique"/>
    <x:tableColumn id="15" name="API / Network Evidence"/>
    <x:tableColumn id="16" name="Business / User Impact"/>
    <x:tableColumn id="17" name="Evidence Available"/>
    <x:tableColumn id="18" name="Reproduction Rate"/>
    <x:tableColumn id="19" name="Source Document"/>
    <x:tableColumn id="20" name="Notes"/>
  </x:tableColumns>
  <x:tableStyleInfo name="TableStyleMedium2" showFirstColumn="0" showLastColumn="0" showRowStripes="1" showColumnStripes="0"/>
</x:table>
</file>

<file path=xl/tables/table2.xml><?xml version="1.0" encoding="utf-8"?>
<x:table xmlns:x="http://schemas.openxmlformats.org/spreadsheetml/2006/main" id="2" name="SourceIndexTable" displayName="SourceIndexTable" ref="A4:D29" headerRowCount="1" totalsRowCount="0" totalsRowShown="0">
  <x:tableColumns count="4">
    <x:tableColumn id="1" name="Source File"/>
    <x:tableColumn id="2" name="Classification"/>
    <x:tableColumn id="3" name="Mapped Bug"/>
    <x:tableColumn id="4" name="Included in Regist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251e65384534a72" /></Relationships>
</file>

<file path=xl/worksheets/_rels/sheet3.xml.rels>&#65279;<?xml version="1.0" encoding="utf-8"?><Relationships xmlns="http://schemas.openxmlformats.org/package/2006/relationships"><Relationship Type="http://schemas.openxmlformats.org/officeDocument/2006/relationships/table" Target="/xl/tables/table2.xml" Id="R44b27c734d614ce9"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28" hidden="0" customWidth="1"/>
    <x:col min="2" max="2" width="13" hidden="0" customWidth="1"/>
    <x:col min="3" max="3" width="3" hidden="0" customWidth="1"/>
    <x:col min="4" max="4" width="22" hidden="0" customWidth="1"/>
    <x:col min="5" max="5" width="13" hidden="0" customWidth="1"/>
    <x:col min="6" max="6" width="13" hidden="0" customWidth="1"/>
    <x:col min="7" max="7" width="13" hidden="0" customWidth="1"/>
    <x:col min="8" max="8" width="13" hidden="0" customWidth="1"/>
  </x:cols>
  <x:sheetData>
    <x:row r="1">
      <x:c r="A1" s="19"/>
      <x:c r="B1" s="19"/>
      <x:c r="C1" s="19"/>
      <x:c r="D1" s="19"/>
      <x:c r="E1" s="19"/>
      <x:c r="F1" s="19"/>
      <x:c r="G1" s="19"/>
      <x:c r="H1" s="19"/>
    </x:row>
    <x:row r="2">
      <x:c r="A2" s="2" t="str">
        <x:v>Toolshop Bug Report — Management Summary</x:v>
      </x:c>
      <x:c r="B2" s="19"/>
      <x:c r="C2" s="19"/>
      <x:c r="D2" s="19"/>
      <x:c r="E2" s="19"/>
      <x:c r="F2" s="19"/>
      <x:c r="G2" s="19"/>
      <x:c r="H2" s="19"/>
    </x:row>
    <x:row r="3">
      <x:c r="A3" s="20"/>
      <x:c r="B3" s="20"/>
      <x:c r="C3" s="20"/>
      <x:c r="D3" s="20"/>
      <x:c r="E3" s="20"/>
      <x:c r="F3" s="20"/>
      <x:c r="G3" s="20"/>
      <x:c r="H3" s="20"/>
    </x:row>
    <x:row r="4">
      <x:c r="A4" s="19"/>
      <x:c r="B4" s="19"/>
      <x:c r="C4" s="19"/>
      <x:c r="D4" s="19"/>
      <x:c r="E4" s="19"/>
      <x:c r="F4" s="19"/>
      <x:c r="G4" s="19"/>
      <x:c r="H4" s="19"/>
    </x:row>
    <x:row r="5">
      <x:c r="A5" s="7" t="str">
        <x:v>Metric</x:v>
      </x:c>
      <x:c r="B5" s="7" t="str">
        <x:v>Count</x:v>
      </x:c>
      <x:c r="C5" s="19"/>
      <x:c r="D5" s="7" t="str">
        <x:v>Priority</x:v>
      </x:c>
      <x:c r="E5" s="7" t="str">
        <x:v>Count</x:v>
      </x:c>
      <x:c r="F5" s="19"/>
      <x:c r="G5" s="19"/>
      <x:c r="H5" s="19"/>
    </x:row>
    <x:row r="6">
      <x:c r="A6" s="8" t="str">
        <x:v>Unique confirmed bugs</x:v>
      </x:c>
      <x:c r="B6" s="10" t="n">
        <x:f>COUNTA('Bug Register'!$A$5:$A$26)</x:f>
        <x:v>22</x:v>
      </x:c>
      <x:c r="C6" s="9"/>
      <x:c r="D6" s="8" t="str">
        <x:v>Critical</x:v>
      </x:c>
      <x:c r="E6" s="10" t="n">
        <x:f>COUNTIF('Bug Register'!$G$5:$G$26,D6)</x:f>
        <x:v>2</x:v>
      </x:c>
      <x:c r="F6" s="19"/>
      <x:c r="G6" s="19"/>
      <x:c r="H6" s="19"/>
    </x:row>
    <x:row r="7">
      <x:c r="A7" s="8" t="str">
        <x:v>Critical severity</x:v>
      </x:c>
      <x:c r="B7" s="10" t="n">
        <x:f>COUNTIF('Bug Register'!$F$5:$F$26,"Critical")</x:f>
        <x:v>2</x:v>
      </x:c>
      <x:c r="C7" s="9"/>
      <x:c r="D7" s="8" t="str">
        <x:v>High</x:v>
      </x:c>
      <x:c r="E7" s="10" t="n">
        <x:f>COUNTIF('Bug Register'!$G$5:$G$26,D7)</x:f>
        <x:v>12</x:v>
      </x:c>
      <x:c r="F7" s="19"/>
      <x:c r="G7" s="19"/>
      <x:c r="H7" s="19"/>
    </x:row>
    <x:row r="8">
      <x:c r="A8" s="8" t="str">
        <x:v>High severity</x:v>
      </x:c>
      <x:c r="B8" s="10" t="n">
        <x:f>COUNTIF('Bug Register'!$F$5:$F$26,"High")</x:f>
        <x:v>7</x:v>
      </x:c>
      <x:c r="C8" s="9"/>
      <x:c r="D8" s="8" t="str">
        <x:v>Medium</x:v>
      </x:c>
      <x:c r="E8" s="10" t="n">
        <x:f>COUNTIF('Bug Register'!$G$5:$G$26,D8)</x:f>
        <x:v>7</x:v>
      </x:c>
      <x:c r="F8" s="19"/>
      <x:c r="G8" s="19"/>
      <x:c r="H8" s="19"/>
    </x:row>
    <x:row r="9">
      <x:c r="A9" s="8" t="str">
        <x:v>Medium severity</x:v>
      </x:c>
      <x:c r="B9" s="10" t="n">
        <x:f>COUNTIF('Bug Register'!$F$5:$F$26,"Medium")</x:f>
        <x:v>11</x:v>
      </x:c>
      <x:c r="C9" s="9"/>
      <x:c r="D9" s="8" t="str">
        <x:v>Low / Medium</x:v>
      </x:c>
      <x:c r="E9" s="10" t="n">
        <x:f>COUNTIF('Bug Register'!$G$5:$G$26,D9)</x:f>
        <x:v>1</x:v>
      </x:c>
      <x:c r="F9" s="19"/>
      <x:c r="G9" s="19"/>
      <x:c r="H9" s="19"/>
    </x:row>
    <x:row r="10">
      <x:c r="A10" s="8" t="str">
        <x:v>Low severity</x:v>
      </x:c>
      <x:c r="B10" s="10" t="n">
        <x:f>COUNTIF('Bug Register'!$F$5:$F$26,"Low")</x:f>
        <x:v>2</x:v>
      </x:c>
      <x:c r="C10" s="9"/>
      <x:c r="D10" s="9"/>
      <x:c r="E10" s="9"/>
      <x:c r="F10" s="19"/>
      <x:c r="G10" s="19"/>
      <x:c r="H10" s="19"/>
    </x:row>
    <x:row r="11">
      <x:c r="A11" s="19"/>
      <x:c r="B11" s="19"/>
      <x:c r="C11" s="19"/>
      <x:c r="D11" s="19"/>
      <x:c r="E11" s="19"/>
      <x:c r="F11" s="19"/>
      <x:c r="G11" s="19"/>
      <x:c r="H11" s="19"/>
    </x:row>
    <x:row r="12">
      <x:c r="A12" s="12" t="str">
        <x:v>Key management observations</x:v>
      </x:c>
      <x:c r="B12" s="19"/>
      <x:c r="C12" s="19"/>
      <x:c r="D12" s="19"/>
      <x:c r="E12" s="19"/>
      <x:c r="F12" s="19"/>
      <x:c r="G12" s="19"/>
      <x:c r="H12" s="19"/>
    </x:row>
    <x:row r="13" ht="34" customHeight="1">
      <x:c r="A13" s="16" t="str">
        <x:v>• Two Critical defects require immediate attention: incorrect cart line-item pricing (BUG-006) and password-hash exposure (BUG-021).</x:v>
      </x:c>
      <x:c r="B13" s="16"/>
      <x:c r="C13" s="16"/>
      <x:c r="D13" s="16"/>
      <x:c r="E13" s="16"/>
      <x:c r="F13" s="16"/>
      <x:c r="G13" s="16"/>
      <x:c r="H13" s="16"/>
    </x:row>
    <x:row r="14" ht="34" customHeight="1">
      <x:c r="A14" s="16" t="str">
        <x:v>• Checkout/payment is the most affected business area, with billing and payment-field defects that can disrupt order completion.</x:v>
      </x:c>
      <x:c r="B14" s="16"/>
      <x:c r="C14" s="16"/>
      <x:c r="D14" s="16"/>
      <x:c r="E14" s="16"/>
      <x:c r="F14" s="16"/>
      <x:c r="G14" s="16"/>
      <x:c r="H14" s="16"/>
    </x:row>
    <x:row r="15" ht="34" customHeight="1">
      <x:c r="A15" s="16" t="str">
        <x:v>• High-priority catalog, cart and navigation defects should be triaged alongside the Critical items before release.</x:v>
      </x:c>
      <x:c r="B15" s="16"/>
      <x:c r="C15" s="16"/>
      <x:c r="D15" s="16"/>
      <x:c r="E15" s="16"/>
      <x:c r="F15" s="16"/>
      <x:c r="G15" s="16"/>
      <x:c r="H15" s="16"/>
    </x:row>
    <x:row r="16" ht="34" customHeight="1">
      <x:c r="A16" s="16" t="str">
        <x:v>• Source Index records all 25 supplied documents, including two duplicate/supporting bug documents and one exploration document.</x:v>
      </x:c>
      <x:c r="B16" s="16"/>
      <x:c r="C16" s="16"/>
      <x:c r="D16" s="16"/>
      <x:c r="E16" s="16"/>
      <x:c r="F16" s="16"/>
      <x:c r="G16" s="16"/>
      <x:c r="H16" s="16"/>
    </x:row>
    <x:row r="17">
      <x:c r="A17" s="19"/>
      <x:c r="B17" s="19"/>
      <x:c r="C17" s="19"/>
      <x:c r="D17" s="19"/>
      <x:c r="E17" s="19"/>
      <x:c r="F17" s="19"/>
      <x:c r="G17" s="19"/>
      <x:c r="H17" s="19"/>
    </x:row>
    <x:row r="18">
      <x:c r="A18" s="18" t="str">
        <x:v>Scope note: 22 canonical BUG-001 to BUG-022 reports are included. Sensitive token and hash values were deliberately excluded; refer to controlled source evidence when required.</x:v>
      </x:c>
      <x:c r="B18" s="19"/>
      <x:c r="C18" s="19"/>
      <x:c r="D18" s="19"/>
      <x:c r="E18" s="19"/>
      <x:c r="F18" s="19"/>
      <x:c r="G18" s="19"/>
      <x:c r="H18" s="19"/>
    </x:row>
    <x:row r="19">
      <x:c r="A19" s="19"/>
      <x:c r="B19" s="19"/>
      <x:c r="C19" s="19"/>
      <x:c r="D19" s="19"/>
      <x:c r="E19" s="19"/>
      <x:c r="F19" s="19"/>
      <x:c r="G19" s="19"/>
      <x:c r="H19" s="19"/>
    </x:row>
    <x:row r="20">
      <x:c r="A20" s="19"/>
      <x:c r="B20" s="19"/>
      <x:c r="C20" s="19"/>
      <x:c r="D20" s="19"/>
      <x:c r="E20" s="19"/>
      <x:c r="F20" s="19"/>
      <x:c r="G20" s="19"/>
      <x:c r="H20" s="19"/>
    </x:row>
  </x:sheetData>
  <x:mergeCells>
    <x:mergeCell ref="A2:H2"/>
    <x:mergeCell ref="A12:H12"/>
    <x:mergeCell ref="A13:H13"/>
    <x:mergeCell ref="A14:H14"/>
    <x:mergeCell ref="A15:H15"/>
    <x:mergeCell ref="A16:H16"/>
    <x:mergeCell ref="A18:H18"/>
  </x:mergeCells>
  <x:pageMargins left="0.7" right="0.7" top="0.75" bottom="0.75" header="0.3" footer="0.3"/>
</x:worksheet>
</file>

<file path=xl/worksheets/sheet2.xml><?xml version="1.0" encoding="utf-8"?>
<x:worksheet xmlns:x="http://schemas.openxmlformats.org/spreadsheetml/2006/main">
  <x:sheetPr>
    <x:tabColor rgb="FF1F4E78"/>
  </x:sheetPr>
  <x:sheetViews>
    <x:sheetView showGridLines="0" workbookViewId="0">
      <x:pane xSplit="2" ySplit="4" topLeftCell="C5" activePane="bottomRight" state="frozen"/>
    </x:sheetView>
  </x:sheetViews>
  <x:sheetFormatPr defaultRowHeight="15"/>
  <x:cols>
    <x:col min="1" max="1" width="13" hidden="0" customWidth="1"/>
    <x:col min="2" max="2" width="38" hidden="0" customWidth="1"/>
    <x:col min="3" max="3" width="28" hidden="0" customWidth="1"/>
    <x:col min="4" max="4" width="25" hidden="0" customWidth="1"/>
    <x:col min="5" max="5" width="14" hidden="0" customWidth="1"/>
    <x:col min="6" max="6" width="12" hidden="0" customWidth="1"/>
    <x:col min="7" max="7" width="14" hidden="0" customWidth="1"/>
    <x:col min="8" max="8" width="42" hidden="0" customWidth="1"/>
    <x:col min="9" max="9" width="36" hidden="0" customWidth="1"/>
    <x:col min="10" max="10" width="52" hidden="0" customWidth="1"/>
    <x:col min="11" max="11" width="46" hidden="0" customWidth="1"/>
    <x:col min="12" max="12" width="52" hidden="0" customWidth="1"/>
    <x:col min="13" max="13" width="30" hidden="0" customWidth="1"/>
    <x:col min="14" max="14" width="22" hidden="0" customWidth="1"/>
    <x:col min="15" max="15" width="42" hidden="0" customWidth="1"/>
    <x:col min="16" max="16" width="42" hidden="0" customWidth="1"/>
    <x:col min="17" max="17" width="36" hidden="0" customWidth="1"/>
    <x:col min="18" max="18" width="24" hidden="0" customWidth="1"/>
    <x:col min="19" max="19" width="42" hidden="0" customWidth="1"/>
    <x:col min="20" max="20" width="34" hidden="0" customWidth="1"/>
  </x:cols>
  <x:sheetData>
    <x:row r="2">
      <x:c r="A2" s="1" t="str">
        <x:v>Toolshop — Consolidated Bug Register</x:v>
      </x:c>
    </x:row>
    <x:row r="3">
      <x:c r="A3" s="17" t="str">
        <x:v>One row per canonical bug. Use filters for severity, priority, module and status. Full screenshots remain in the original Word documents.</x:v>
      </x:c>
    </x:row>
    <x:row r="4">
      <x:c r="A4" s="26" t="str">
        <x:v>Bug ID</x:v>
      </x:c>
      <x:c r="B4" s="26" t="str">
        <x:v>Title</x:v>
      </x:c>
      <x:c r="C4" s="26" t="str">
        <x:v>Module</x:v>
      </x:c>
      <x:c r="D4" s="26" t="str">
        <x:v>Bug Type</x:v>
      </x:c>
      <x:c r="E4" s="26" t="str">
        <x:v>Status</x:v>
      </x:c>
      <x:c r="F4" s="26" t="str">
        <x:v>Severity</x:v>
      </x:c>
      <x:c r="G4" s="26" t="str">
        <x:v>Priority</x:v>
      </x:c>
      <x:c r="H4" s="26" t="str">
        <x:v>Summary</x:v>
      </x:c>
      <x:c r="I4" s="26" t="str">
        <x:v>Preconditions</x:v>
      </x:c>
      <x:c r="J4" s="26" t="str">
        <x:v>Steps to Reproduce</x:v>
      </x:c>
      <x:c r="K4" s="26" t="str">
        <x:v>Expected Result</x:v>
      </x:c>
      <x:c r="L4" s="26" t="str">
        <x:v>Actual Result</x:v>
      </x:c>
      <x:c r="M4" s="26" t="str">
        <x:v>Related Tests</x:v>
      </x:c>
      <x:c r="N4" s="26" t="str">
        <x:v>Technique</x:v>
      </x:c>
      <x:c r="O4" s="26" t="str">
        <x:v>API / Network Evidence</x:v>
      </x:c>
      <x:c r="P4" s="26" t="str">
        <x:v>Business / User Impact</x:v>
      </x:c>
      <x:c r="Q4" s="26" t="str">
        <x:v>Evidence Available</x:v>
      </x:c>
      <x:c r="R4" s="26" t="str">
        <x:v>Reproduction Rate</x:v>
      </x:c>
      <x:c r="S4" s="26" t="str">
        <x:v>Source Document</x:v>
      </x:c>
      <x:c r="T4" s="26" t="str">
        <x:v>Notes</x:v>
      </x:c>
    </x:row>
    <x:row r="5" ht="86" customHeight="1">
      <x:c r="A5" s="34" t="str">
        <x:v>BUG-001</x:v>
      </x:c>
      <x:c r="B5" s="34" t="str">
        <x:v>Incorrect Category Options / Invalid Category Navigation</x:v>
      </x:c>
      <x:c r="C5" s="34" t="str">
        <x:v>Catalog / Category Navigation</x:v>
      </x:c>
      <x:c r="D5" s="34" t="str">
        <x:v>Functional / Navigation</x:v>
      </x:c>
      <x:c r="E5" s="34" t="str">
        <x:v>Confirmed</x:v>
      </x:c>
      <x:c r="F5" s="34" t="str">
        <x:v>High</x:v>
      </x:c>
      <x:c r="G5" s="34" t="str">
        <x:v>High</x:v>
      </x:c>
      <x:c r="H5" s="32" t="str">
        <x:v>Categories dropdown contains incorrect/mismatched options. Chainsaws navigates to an error page and Undefined produces a blank/invalid result.</x:v>
      </x:c>
      <x:c r="I5" s="32" t="str">
        <x:v>Open buggy Toolshop application. Start from a clean browser/session. Have the clean application available for comparison.</x:v>
      </x:c>
      <x:c r="J5" s="32" t="str">
        <x:v>Open the buggy Toolshop application. Open the Categories dropdown. Record all displayed category options. Compare the category list with the clean application. Select Chainsaws, if displayed. Observe the resulting page. Click on the home page, navigate to contact page, not as expect as per the clean app API details during home link selection Response { "id": 2, "first_name": "Jane", "last_name": "Doe", "address": "Test street 98", "city": "Vienna", "state": null, "country": "Austria", "postcode": null, "phone": null, "dob": "1980-02-02", "email": "customer@practicesoftwaretesting.com", "password": "9e2ed9cb4bf54a6b9dc4669a1d295466b2585c4346092bffb5333098431cd61d", "role": "user", "enabled": 1, "failed_login_attempts": 0 } Open the Categories dropdown again. Select Undefined, if displayed. Observe the result. Open DevTools → Network, capture screenshot for both the API calls Capture the relevant product/category API request. Record the category slug/parameter sent to the API. Response { "current_page": 1, "data": [], "from": null, "last_page": 1, "per_page": 9, "to": null, "total": 0 } API2 Payload Response Capture clean app screenshots, it dont have category type as undefined</x:v>
      </x:c>
      <x:c r="K5" s="32" t="str">
        <x:v>Only valid/supported categories should be displayed. A valid category should navigate to the corresponding product listing. Invalid/nonexistent categories should not be presented as selectable options. API request should contain a valid category identifier/slug. Click on the home page, should navigate to the home page</x:v>
      </x:c>
      <x:c r="L5" s="32" t="str">
        <x:v>The Categories dropdown contains an invalid “Undefined” option. Selecting it produces an empty/invalid product result. The Chainsaws category also fails to navigate/display the expected product listing. The associated API request uses an invalid/undefined category value and returns no products.</x:v>
      </x:c>
      <x:c r="M5" s="32" t="str">
        <x:v>TC-003 — Search for an existing product TC-004 — Search for a non-existing product API-005 — Retrieve product details Technique: EP / ST Initial Severity: High Initial Priority: High Existing Exploration Evidence Buggy Categories dropdown differs from the clean application. Chainsaws navigated to an error page. Undefined produced a blank/invalid result. API evidence showed a category request using by_category_slug=undefined. Preconditions Open buggy Toolshop application. Start from a clean brow…</x:v>
      </x:c>
      <x:c r="N5" s="32" t="str">
        <x:v>EP / ST</x:v>
      </x:c>
      <x:c r="O5" s="32" t="str">
        <x:v>Not applicable or no API defect claimed.</x:v>
      </x:c>
      <x:c r="P5" s="32" t="str">
        <x:v>Categories dropdown contains incorrect/mismatched options. Chainsaws navigates to an error page and Undefined produces a blank/invalid result.</x:v>
      </x:c>
      <x:c r="Q5" s="32" t="str">
        <x:v>Clean screenshot: ________________ Buggy screenshot: ________________ API/Network screenshot: ________________ Additional evidence: ________________</x:v>
      </x:c>
      <x:c r="R5" s="32" t="str">
        <x:v>3/3</x:v>
      </x:c>
      <x:c r="S5" s="32" t="str">
        <x:v>BUG-001 — Incorrect Category Options _ Invalid Category Navigation.docx</x:v>
      </x:c>
      <x:c r="T5" s="32" t="str"/>
    </x:row>
    <x:row r="6" ht="86" customHeight="1">
      <x:c r="A6" s="35" t="str">
        <x:v>BUG-002</x:v>
      </x:c>
      <x:c r="B6" s="35" t="str">
        <x:v>Brand Filter Not Working Correctly</x:v>
      </x:c>
      <x:c r="C6" s="35" t="str">
        <x:v>Catalog / Brand Filter</x:v>
      </x:c>
      <x:c r="D6" s="35" t="str">
        <x:v>Functional / API</x:v>
      </x:c>
      <x:c r="E6" s="35" t="str">
        <x:v>Confirmed</x:v>
      </x:c>
      <x:c r="F6" s="35" t="str">
        <x:v>High</x:v>
      </x:c>
      <x:c r="G6" s="35" t="str">
        <x:v>High</x:v>
      </x:c>
      <x:c r="H6" s="33" t="str">
        <x:v>Brand names are not correctly listed and brand filtering does not work as expected.</x:v>
      </x:c>
      <x:c r="I6" s="33" t="str">
        <x:v>Open buggy Toolshop application. Start from clean browser state.</x:v>
      </x:c>
      <x:c r="J6" s="33" t="str">
        <x:v>Login to application Open the product listing/home page. Open the Brand filter. Record all displayed brands. API details of Brand Names in buggy app APi response [ { "id": 1, "name": "Brand name 1", "slug": "brand-name-1" }, { "id": 2, "name": "Brand name 2", "slug": "brand-name-2" }, { "id": 3, "name": "Brand name 3", "slug": "brand-name-3" }, { "id": 4, "name": "Brand name 4", "slug": "brand-name-4" }, { "id": 5, "name": "Brand name 5", "slug": "brand-name-5" }, { "id": 6, "name": "Brand name 6", "slug": "brand-name-6" }, { "id": 7, "name": "Brand name 7", "slug": "brand-name-7" }, { "id": 8, "name": "Brand name 8", "slug": "brand-name-8" }, { "id": 9, "name": "Brand name 9", "slug": "brand-name-9" }, { "id": 10, "name": "Brand name 10", "slug": "brand-name-10" } ] Product API details { "current_page": 1, "data": [ { "id": 1, "name": "Combination Pliers", "description": "Versatile combination pliers designed for gripping, bending, and cutting wire with ease. Featuring chrome vanadium steel construction with induction-hardened cutting edges, these pliers deliver excellent grip and leverage for a wide range of tasks. The precision-machined jaws combine flat gripping surfaces with a pipe-grip section and integrated wire cutter for true multi-purpose functionality. Ergonomic bi-co…</x:v>
      </x:c>
      <x:c r="K6" s="33" t="str">
        <x:v>Correct supported brand names should be displayed. Selecting a valid brand should display products belonging to that brand. API should receive the correct brand identifier/slug. UI results should correspond to API results.</x:v>
      </x:c>
      <x:c r="L6" s="33" t="str">
        <x:v>The buggy application displays generic/incorrect brand names such as Brand name 1, Brand name 2, etc., instead of the actual supported brand names such as ForgeFlex Tools and MightyCraft Hardware. When a brand is selected from the buggy application's Brand filter, no matching products are displayed. The corresponding API response returns an empty product list (data: [] and total: 0). In comparison, the clean application returns the correct brand names and selecting a valid brand returns the expected products, including products belonging to MightyCraft Hardware.</x:v>
      </x:c>
      <x:c r="M6" s="33" t="str">
        <x:v>TC-003 — Search for an existing product API-005 — Retrieve product details Technique: EP Initial Severity: High Initial Priority: High Existing Exploration Evidence The exploration records that brand names were not correctly listed and brand filtering did not return the expected products. The clean application/API evidence shows supported brands including ForgeFlex Tools and MightyCraft Hardware. Preconditions Open buggy Toolshop application. Start from clean browser state. Re-execution Steps L…</x:v>
      </x:c>
      <x:c r="N6" s="33" t="str">
        <x:v>EP</x:v>
      </x:c>
      <x:c r="O6" s="33" t="str">
        <x:v>Not applicable or no API defect claimed.</x:v>
      </x:c>
      <x:c r="P6" s="33" t="str">
        <x:v>Brand names are not correctly listed and brand filtering does not work as expected.</x:v>
      </x:c>
      <x:c r="Q6" s="33" t="str">
        <x:v>Clean brand filter screenshot: ________________ Buggy brand filter screenshot: ________________ API screenshot: ________________</x:v>
      </x:c>
      <x:c r="R6" s="33" t="str">
        <x:v>3/3</x:v>
      </x:c>
      <x:c r="S6" s="33" t="str">
        <x:v>BUG-002 — Brand Filter Not Working Correctly.docx</x:v>
      </x:c>
      <x:c r="T6" s="33" t="str"/>
    </x:row>
    <x:row r="7" ht="86" customHeight="1">
      <x:c r="A7" s="35" t="str">
        <x:v>BUG-003</x:v>
      </x:c>
      <x:c r="B7" s="35" t="str">
        <x:v>Product Sorting Does Not Match Selected Option</x:v>
      </x:c>
      <x:c r="C7" s="35" t="str">
        <x:v>Catalog / Sorting</x:v>
      </x:c>
      <x:c r="D7" s="35" t="str">
        <x:v>Functional / Sorting</x:v>
      </x:c>
      <x:c r="E7" s="35" t="str">
        <x:v>Confirmed</x:v>
      </x:c>
      <x:c r="F7" s="35" t="str">
        <x:v>High</x:v>
      </x:c>
      <x:c r="G7" s="35" t="str">
        <x:v>High</x:v>
      </x:c>
      <x:c r="H7" s="33" t="str">
        <x:v>Sorting does not behave according to the selected sort option, and the sorting label/API direction may not correspond to the user's selection.</x:v>
      </x:c>
      <x:c r="I7" s="33" t="str">
        <x:v>Not explicitly stated in source document.</x:v>
      </x:c>
      <x:c r="J7" s="33" t="str">
        <x:v>Open the buggy product listing page. Record the initial product order. Select A → Z. Record the first five product names. Verify whether they are alphabetically ascending. Capture the API request. Record the sort parameter. Response of API { "current_page": 1, "data": [ { "id": 13, "name": "Wood Saw", "description": "Traditional hand saw crafted with a high carbon steel blade featuring 7 teeth per inch for efficient crosscutting and ripping of timber, plywood, and composite boards. The 500mm blade length handles standard dimensional lumber, sheet goods, and tree branches with smooth, clean cuts that require minimal sanding afterward. Each tooth is precision-set and hardened to stay sharp through hundreds of cuts in both softwood and hardwood species. A comfortable contoured wooden handle provides a secure three-finger grip and natural wrist alignment that reduces fatigue during extended cutting sessions. The taper-ground blade is thinner at the back than at the teeth, reducing friction and binding during deep cuts. Essential for carpenters, woodworkers, and gardeners who appreciate the precision, quiet operation, and portability of a quality hand saw.", "stock": 11, "price": 12.18, "is_location_offer": 0, "is_rental": 0, "co2_rating": "B", "brand_id": 1, "category_id": 4, "produ…</x:v>
      </x:c>
      <x:c r="K7" s="33" t="str">
        <x:v>Selecting A → Z should display products in ascending alphabetical order. Selecting Z → A should display products in descending alphabetical order. The sorting label should correctly represent the selected sorting option. The API request should contain the corresponding sort direction. UI product order should match the sorting direction returned by the API.</x:v>
      </x:c>
      <x:c r="L7" s="33" t="str">
        <x:v>When A → Z is selected, the products are not displayed in the expected ascending alphabetical order. The API request uses a descending sort direction (sort=name,desc) despite the A → Z selection. When Z → A is selected, the products are also not displayed in the expected descending alphabetical order. The UI sorting label/spelling is incorrect, and the API response does not produce the expected Z → A product order. For example, after selecting Z → A, the API response begins with “Adjustable Wrench”, “Angled Spanner”, “Belt Sander”, “Bolt Cutters”, which is ascending rather than descending alphabetical order. The buggy API response for the other sorting action also shows the returned product sequence does not correspond to the selected UI sorting direction. Sort spelling is Sorth in buggy app.</x:v>
      </x:c>
      <x:c r="M7" s="33" t="str">
        <x:v>TC-005 — Sort products Low → High and High → Low API-005 — Retrieve product details Technique: EP Initial Severity: High Initial Priority: High Existing Exploration Evidence Existing exploration showed a sort request using sort=name,desc when the UI action was associated with A–Z sorting. Re-execution Steps Open the buggy product listing page. Record the initial product order. Select A → Z. Record the first five product names. Verify whether they are alphabetically ascending. Capture the API re…</x:v>
      </x:c>
      <x:c r="N7" s="33" t="str">
        <x:v>EP</x:v>
      </x:c>
      <x:c r="O7" s="33" t="str">
        <x:v>Not applicable or no API defect claimed.</x:v>
      </x:c>
      <x:c r="P7" s="33" t="str">
        <x:v>Sorting does not behave according to the selected sort option, and the sorting label/API direction may not correspond to the user's selection.</x:v>
      </x:c>
      <x:c r="Q7" s="33" t="str">
        <x:v>Keep your screenshots as already captured in your execution steps: Initial product order screenshot A → Z selection/result screenshot A → Z network/API screenshot Z → A selection/result screenshot Z → A network/API screenshot Clean application comparison screenshots Your existing execution already contains these checks.</x:v>
      </x:c>
      <x:c r="R7" s="33" t="str">
        <x:v>3/3</x:v>
      </x:c>
      <x:c r="S7" s="33" t="str">
        <x:v>BUG-003 — Product Sorting Does Not Match Selected Option.docx</x:v>
      </x:c>
      <x:c r="T7" s="33" t="str"/>
    </x:row>
    <x:row r="8" ht="86" customHeight="1">
      <x:c r="A8" s="35" t="str">
        <x:v>BUG-004</x:v>
      </x:c>
      <x:c r="B8" s="35" t="str">
        <x:v>Product Quantity Controls Do Not Work</x:v>
      </x:c>
      <x:c r="C8" s="35" t="str">
        <x:v>Product Details / Quantity</x:v>
      </x:c>
      <x:c r="D8" s="35" t="str">
        <x:v>Functional / UI</x:v>
      </x:c>
      <x:c r="E8" s="35" t="str">
        <x:v>Confirmed</x:v>
      </x:c>
      <x:c r="F8" s="35" t="str">
        <x:v>High</x:v>
      </x:c>
      <x:c r="G8" s="35" t="str">
        <x:v>High</x:v>
      </x:c>
      <x:c r="H8" s="33" t="str">
        <x:v>Product quantity cannot be correctly increased/decreased using the quantity controls.</x:v>
      </x:c>
      <x:c r="I8" s="33" t="str">
        <x:v>Not explicitly stated in source document.</x:v>
      </x:c>
      <x:c r="J8" s="33" t="str">
        <x:v>Open a product details page. Record the initial quantity. Click +. Record quantity. Click + again. Record quantity. Click −. Record quantity. -User is not able to increase or decrease the product qunatity Continue testing until minimum supported quantity is reached. Attempt to decrease below the minimum. Identify the application's maximum supported quantity, if applicable. Attempt maximum + 1. Repeat on clean application. Capture screenshots of each meaningful boundary condition. \\</x:v>
      </x:c>
      <x:c r="K8" s="33" t="str">
        <x:v>Expected behavior is documented by comparison with the clean reference application.</x:v>
      </x:c>
      <x:c r="L8" s="33" t="str">
        <x:v>Product quantity cannot be correctly increased/decreased using the quantity controls.</x:v>
      </x:c>
      <x:c r="M8" s="33" t="str">
        <x:v>TC-006 — Change product quantity using + / − controls TC-010 — Validate quantity boundary values API-006 — Add/order product Technique: BVA Initial Severity: High Initial Priority: High Re-execution Steps Open a product details page. Record the initial quantity. Click +. Record quantity. Click + again. Record quantity. Click −. Record quantity. -User is not able to increase or decrease the product qunatity Continue testing until minimum supported quantity is reached. Attempt to decrease below t…</x:v>
      </x:c>
      <x:c r="N8" s="33" t="str">
        <x:v>BVA</x:v>
      </x:c>
      <x:c r="O8" s="33" t="str">
        <x:v>Not applicable or no API defect claimed.</x:v>
      </x:c>
      <x:c r="P8" s="33" t="str">
        <x:v>Product quantity cannot be correctly increased/decreased using the quantity controls.</x:v>
      </x:c>
      <x:c r="Q8" s="33" t="str">
        <x:v>Screenshots attached in source document</x:v>
      </x:c>
      <x:c r="R8" s="33" t="str">
        <x:v>3/3 — Always</x:v>
      </x:c>
      <x:c r="S8" s="33" t="str">
        <x:v>BUG-004 — Product Quantity Controls Do Not Work.docx</x:v>
      </x:c>
      <x:c r="T8" s="33" t="str"/>
    </x:row>
    <x:row r="9" ht="86" customHeight="1">
      <x:c r="A9" s="35" t="str">
        <x:v>BUG-005</x:v>
      </x:c>
      <x:c r="B9" s="35" t="str">
        <x:v>Add to Cart Displays Error Toast Although Product Is Added</x:v>
      </x:c>
      <x:c r="C9" s="35" t="str">
        <x:v>Cart / Add to Cart</x:v>
      </x:c>
      <x:c r="D9" s="35" t="str">
        <x:v>Functional / UX</x:v>
      </x:c>
      <x:c r="E9" s="35" t="str">
        <x:v>Confirmed</x:v>
      </x:c>
      <x:c r="F9" s="35" t="str">
        <x:v>Medium</x:v>
      </x:c>
      <x:c r="G9" s="35" t="str">
        <x:v>High</x:v>
      </x:c>
      <x:c r="H9" s="33" t="str">
        <x:v>Clicking Add to Cart displays an error toast even though the product is successfully added.</x:v>
      </x:c>
      <x:c r="I9" s="33" t="str">
        <x:v>Not explicitly stated in source document.</x:v>
      </x:c>
      <x:c r="J9" s="33" t="str">
        <x:v>Open a valid product. Record product name and price. Click Add to Cart. Capture the displayed toast/message. Observe whether the product appears to have been added. Open the cart. Verify the product exists. Verify quantity. Verify cart subtotal. Capture relevant API/network request. Response { "id": 2, "first_name": "Jane", "last_name": "Doe", "address": "Test street 98", "city": "Vienna", "state": null, "country": "Austria", "postcode": null, "phone": null, "dob": "1980-02-02", "email": "customer@practicesoftwaretesting.com", "password": "9e2ed9cb4bf54a6b9dc4669a1d295466b2585c4346092bffb5333098431cd61d", "role": "user", "enabled": 1, "failed_login_attempts": 0 } Clean app , product add to the cart In clean app, click on the cart icon and api Cart icon click api response { "id": "01m0qj1ta52ask5652wtj9s46h", "additional_discount_percentage": null, "lat": null, "lng": null, "cart_items": [ { "id": "01m0qj1trdb8m2ywb9b6p08cde", "quantity": 1, "discount_percentage": null, "cart_id": "01m0qj1ta52ask5652wtj9s46h", "product_id": "01M0QER1D6JGHGH55FF9JW38V7", "product": { "id": "01M0QER1D6JGHGH55FF9JW38V7", "name": "Bolt Cutters", "description": "Heavy-duty bolt cutters engineered to slice through hardened bolts, chains, padlocks, and wire fencing with minimal effort. The compound leve…</x:v>
      </x:c>
      <x:c r="K9" s="33" t="str">
        <x:v>When the user clicks Add to Cart: The selected product should be successfully added to the cart. The cart indicator should reflect the added item. The application should display a success confirmation, not an error. The cart should contain the selected product with the expected quantity. The clean application displays a successful “Product added to shopping cart.” confirmation.</x:v>
      </x:c>
      <x:c r="L9" s="33" t="str">
        <x:v>In the buggy application: The user clicks Add to Cart for Bolt Cutters priced at $48.41. The application displays the error toast “Oops, something went wrong.” Despite the error message, the cart indicator shows 1, demonstrating that the product was actually added to the cart. Therefore, the UI communicates a failed operation even though the underlying cart operation succeeds. This creates misleading feedback and may cause the user to retry the operation unnecessarily, potentially resulting in duplicate quantities/items. The execution screenshot captures both the error toast and the cart indicator showing 1.</x:v>
      </x:c>
      <x:c r="M9" s="33" t="str">
        <x:v>TC-007 — Add one product and verify cart subtotal API-006 — Add/order product Technique: EP / ST Initial Severity: Medium Initial Priority: High Re-execution Steps Open a valid product. Record product name and price. Click Add to Cart. Capture the displayed toast/message. Observe whether the product appears to have been added. Open the cart. Verify the product exists. Verify quantity. Verify cart subtotal. Capture relevant API/network request. Response { "id": 2, "first_name": "Jane", "last_nam…</x:v>
      </x:c>
      <x:c r="N9" s="33" t="str">
        <x:v>EP / ST</x:v>
      </x:c>
      <x:c r="O9" s="33" t="str">
        <x:v>During the execution, the cart request was observed with the product and quantity: product_id: 01M0QER1D6JGHGH55FF9JW38V7 quantity: 1 The corresponding product is Bolt Cutters, priced at $48.41. The clean application's cart API confirms the expected cart state with: quantity: 1 product: Bolt Cutters price: 48.41 Execution Result</x:v>
      </x:c>
      <x:c r="P9" s="33" t="str">
        <x:v>Clicking Add to Cart displays an error toast even though the product is successfully added.</x:v>
      </x:c>
      <x:c r="Q9" s="33" t="str">
        <x:v>Keep your existing screenshots exactly where they are: Buggy application: Add to Cart + error toast + cart indicator Clean application: successful Add to Cart confirmation Network: cart request/payload Cart: product and quantity verification</x:v>
      </x:c>
      <x:c r="R9" s="33" t="str">
        <x:v>1/1 observed</x:v>
      </x:c>
      <x:c r="S9" s="33" t="str">
        <x:v>BUG-005 — Add to Cart Displays Error Toast Although Product Is Added.docx</x:v>
      </x:c>
      <x:c r="T9" s="33" t="str">
        <x:v>Sensitive tokens and password-hash values were intentionally omitted from this workbook.</x:v>
      </x:c>
    </x:row>
    <x:row r="10" ht="86" customHeight="1">
      <x:c r="A10" s="35" t="str">
        <x:v>BUG-006</x:v>
      </x:c>
      <x:c r="B10" s="35" t="str">
        <x:v>Cart Line-Item Total Displays $00.00</x:v>
      </x:c>
      <x:c r="C10" s="35" t="str">
        <x:v>Cart / Pricing</x:v>
      </x:c>
      <x:c r="D10" s="35" t="str">
        <x:v>Functional / Financial</x:v>
      </x:c>
      <x:c r="E10" s="35" t="str">
        <x:v>Confirmed</x:v>
      </x:c>
      <x:c r="F10" s="35" t="str">
        <x:v>Critical</x:v>
      </x:c>
      <x:c r="G10" s="35" t="str">
        <x:v>Critical</x:v>
      </x:c>
      <x:c r="H10" s="33" t="str">
        <x:v>Cart line-item total displays $00.00 instead of the correct calculated value.</x:v>
      </x:c>
      <x:c r="I10" s="33" t="str">
        <x:v>Not explicitly stated in source document.</x:v>
      </x:c>
      <x:c r="J10" s="33" t="str">
        <x:v>Close application and reOpen the buggy application and login Select Claw Hammer. Confirm unit price. \\ Api 8 response { "id": 8, "name": "Claw Hammer", "description": "Traditional claw hammer with a polished carbon steel head engineered for driving and removing nails with precision and confidence. The rubber-wrapped handle provides a secure, comfortable grip even in wet, dusty, or cold conditions where bare metal or wood handles would slip. At 500g, it offers the ideal balance between striking power and maneuverability for general carpentry, framing, and construction tasks. The curved claw design allows for smooth nail extraction without gouging or marring wood surfaces, protecting your finished work. The head-to-handle connection uses an epoxy-bonded wedge system that prevents loosening over time. A reliable, no-nonsense tool that professional carpenters and weekend builders alike reach for every day.", "stock": 11, "price": 11.48, "is_location_offer": 1, "is_rental": 0, "co2_rating": "D", "brand_id": 1, "category_id": 3, "product_image_id": 8, "is_eco_friendly": true, "product_image": { "id": 8, "by_name": "Andrew George", "by_url": "https:\/\/unsplash.com\/@andrewjoegeorge", "source_name": "Unsplash", "source_url": "https:\/\/unsplash.com\/photos\/YU2mCvXR0wA", "file_name": …</x:v>
      </x:c>
      <x:c r="K10" s="33" t="str">
        <x:v>Unit Price × Quantity $11.48 × 3 = $34.44 The line-item total should display $34.44. The expected calculation is explicitly documented in the execution evidence.</x:v>
      </x:c>
      <x:c r="L10" s="33" t="str">
        <x:v>The buggy application displays: Line-item total: $0.00 even though: Unit Price = $11.48 Quantity = 3 Expected line total = $34.44 The screenshot from the execution clearly shows Quantity = 3, Price = $11.48, Total = $00.00, while the overall cart total shown below is $34.44. Therefore, the individual cart line-item total is incorrect, although the overall cart total is calculated as $34.44. Financial Reconciliation Calculation $11.48 × 3 = $34.44 Therefore: Expected line total = $34.44 Actual line total = $0.00 Difference = $34.44 The execution document also contains the product API response confirming the Claw Hammer price as 11.48 and the cart API response confirming quantity = 3 and price = 11.48. API / Network Evidence Product API The product response confirms: Product: Claw Hammer Price: 11.48 Cart API The cart response confirms: Product: Claw Hammer Quantity: 3 Price: 11.48 This supports the independent calculation: 11.48 × 3 = 34.44 So this is not simply a test-data or UI-entry issue. The cart contains the expected product and quantity, but the line-item display is $0.00.</x:v>
      </x:c>
      <x:c r="M10" s="33" t="str">
        <x:v>TC-007 — Add one product and verify cart subtotal TC-008 — Add multiple products with different prices TC-016 — Verify cart subtotal, tax/discount and final total API-008 — Validate API financial calculations Technique: BVA / DT Initial Severity: Critical Initial Priority: Critical Re-execution Test Data Product: Claw Hammer Unit Price: $11.48 Quantity: 3 Independent Calculation $11.48 × 3 = $34.44 Re-execution Steps Close application and reOpen the buggy application and login Select Claw Hamme…</x:v>
      </x:c>
      <x:c r="N10" s="33" t="str">
        <x:v>BVA / DT</x:v>
      </x:c>
      <x:c r="O10" s="33" t="str">
        <x:v>Product API The product response confirms: Product: Claw Hammer Price: 11.48 Cart API The cart response confirms: Product: Claw Hammer Quantity: 3 Price: 11.48 This supports the independent calculation: 11.48 × 3 = 34.44 So this is not simply a test-data or UI-entry issue. The cart contains the expected product and quantity, but the line-item display is $0.00.</x:v>
      </x:c>
      <x:c r="P10" s="33" t="str">
        <x:v>Incorrect financial information can reduce customer trust.</x:v>
      </x:c>
      <x:c r="Q10" s="33" t="str">
        <x:v>Clean cart screenshot: Your existing clean-cart screenshot Buggy cart screenshot: Your existing screenshot showing Quantity 3 → Price $11.48 → Line Total $0.00 Product API: Existing product API evidence Cart API: Existing cart API evidence showing quantity 3 and price 11.48 UI total: $0.00 ❌ Keep your screenshots exactly where they are in your execution document. You don't need to reorganize them. The execution document already specifies capturing the clean/buggy screenshots and API evidence.</x:v>
      </x:c>
      <x:c r="R10" s="33" t="str">
        <x:v>2/2 — Reproduced</x:v>
      </x:c>
      <x:c r="S10" s="33" t="str">
        <x:v>BUG-006 — Cart Line-Item Total Displays $00.00.docx</x:v>
      </x:c>
      <x:c r="T10" s="33" t="str"/>
    </x:row>
    <x:row r="11" ht="86" customHeight="1">
      <x:c r="A11" s="35" t="str">
        <x:v>BUG-007</x:v>
      </x:c>
      <x:c r="B11" s="35" t="str">
        <x:v>Continue Shopping Button Missing</x:v>
      </x:c>
      <x:c r="C11" s="35" t="str">
        <x:v>Cart / Navigation</x:v>
      </x:c>
      <x:c r="D11" s="35" t="str">
        <x:v>Functional / UI</x:v>
      </x:c>
      <x:c r="E11" s="35" t="str">
        <x:v>Confirmed</x:v>
      </x:c>
      <x:c r="F11" s="35" t="str">
        <x:v>Medium</x:v>
      </x:c>
      <x:c r="G11" s="35" t="str">
        <x:v>Medium</x:v>
      </x:c>
      <x:c r="H11" s="33" t="str">
        <x:v>The Continue Shopping button is available in the clean application but missing from the buggy cart.</x:v>
      </x:c>
      <x:c r="I11" s="33" t="str">
        <x:v>Not explicitly stated in source document.</x:v>
      </x:c>
      <x:c r="J11" s="33" t="str">
        <x:v>Open the buggy application. Add a product. Open the cart.(Continue Shopping button is missing on this page of buggy app, but present for the clean app) Locate available cart navigation controls. Check whether Continue Shopping is displayed in dom Repeat on a clean application.</x:v>
      </x:c>
      <x:c r="K11" s="33" t="str">
        <x:v>The cart should provide the Continue Shopping option, allowing the user to return to product browsing and continue shopping.</x:v>
      </x:c>
      <x:c r="L11" s="33" t="str">
        <x:v>The buggy cart page does not provide the Continue Shopping option. The control is available in the clean reference application but is missing from the buggy application.</x:v>
      </x:c>
      <x:c r="M11" s="33" t="str">
        <x:v>TC-009 — Remove a product from cart Technique: ST Initial Severity: Medium Initial Priority: Medium Re-execution Steps Open the buggy application. Add a product. Open the cart.(Continue Shopping button is missing on this page of buggy app, but present for the clean app) Locate available cart navigation controls. Check whether Continue Shopping is displayed in dom Repeat on a clean application. Expected Result The cart should provide the Continue Shopping option, allowing the user to return to p…</x:v>
      </x:c>
      <x:c r="N11" s="33" t="str">
        <x:v>ST</x:v>
      </x:c>
      <x:c r="O11" s="33" t="str">
        <x:v>Not applicable or no API defect claimed.</x:v>
      </x:c>
      <x:c r="P11" s="33" t="str">
        <x:v>The Continue Shopping button is available in the clean application but missing from the buggy cart.</x:v>
      </x:c>
      <x:c r="Q11" s="33" t="str">
        <x:v>Clean cart screenshot: Attached — Continue Shopping present Buggy cart screenshot: Attached — Continue Shopping missing DOM inspection: Attached API evidence: Not applicable</x:v>
      </x:c>
      <x:c r="R11" s="33" t="str">
        <x:v>1/1 — Reproduced</x:v>
      </x:c>
      <x:c r="S11" s="33" t="str">
        <x:v>BUG-007 — Continue Shopping Button Missing.docx</x:v>
      </x:c>
      <x:c r="T11" s="33" t="str"/>
    </x:row>
    <x:row r="12" ht="86" customHeight="1">
      <x:c r="A12" s="35" t="str">
        <x:v>BUG-008</x:v>
      </x:c>
      <x:c r="B12" s="35" t="str">
        <x:v>Toolshop Title Missing From Cart page</x:v>
      </x:c>
      <x:c r="C12" s="35" t="str">
        <x:v>Cart / Header</x:v>
      </x:c>
      <x:c r="D12" s="35" t="str">
        <x:v>UI</x:v>
      </x:c>
      <x:c r="E12" s="35" t="str">
        <x:v>Confirmed</x:v>
      </x:c>
      <x:c r="F12" s="35" t="str">
        <x:v>Low</x:v>
      </x:c>
      <x:c r="G12" s="35" t="str">
        <x:v>Medium</x:v>
      </x:c>
      <x:c r="H12" s="33" t="str">
        <x:v>Toolshop title/header is missing from the buggy cart page.</x:v>
      </x:c>
      <x:c r="I12" s="33" t="str">
        <x:v>Not explicitly stated in source document.</x:v>
      </x:c>
      <x:c r="J12" s="33" t="str">
        <x:v>Add a product. Open the cart. Inspect the page header/title. Compare with clean application.</x:v>
      </x:c>
      <x:c r="K12" s="33" t="str">
        <x:v>The cart page should display the expected Toolshop title/header consistently with the clean application.</x:v>
      </x:c>
      <x:c r="L12" s="33" t="str">
        <x:v>The cart page is not displaying in the expected Toolshop title/header consistently with the clean application.</x:v>
      </x:c>
      <x:c r="M12" s="33" t="str">
        <x:v>TC-009 — Remove a product from cart Technique: EP Initial Severity: Low Initial Priority: Medium Re-execution Steps Add a product. Open the cart. Inspect the page header/title. Compare with clean application. Expected Result The cart page should display the expected Toolshop title/header consistently with the clean application. Actual Result The cart page is not displaying in the expected Toolshop title/header consistently with the clean application. Evidence Clean screenshot: ________________A…</x:v>
      </x:c>
      <x:c r="N12" s="33" t="str">
        <x:v>EP</x:v>
      </x:c>
      <x:c r="O12" s="33" t="str">
        <x:v>Not applicable or no API defect claimed.</x:v>
      </x:c>
      <x:c r="P12" s="33" t="str">
        <x:v>Toolshop title/header is missing from the buggy cart page.</x:v>
      </x:c>
      <x:c r="Q12" s="33" t="str">
        <x:v>Clean screenshot: ________________Attached Buggy screenshot: ________________Attached</x:v>
      </x:c>
      <x:c r="R12" s="33" t="str">
        <x:v>2/2</x:v>
      </x:c>
      <x:c r="S12" s="33" t="str">
        <x:v>BUG-008 — Toolshop Title Missing From Cart page.docx</x:v>
      </x:c>
      <x:c r="T12" s="33" t="str"/>
    </x:row>
    <x:row r="13" ht="86" customHeight="1">
      <x:c r="A13" s="35" t="str">
        <x:v>BUG-009</x:v>
      </x:c>
      <x:c r="B13" s="35" t="str">
        <x:v>"Contakt" Displayed Instead of "Contact"</x:v>
      </x:c>
      <x:c r="C13" s="35" t="str">
        <x:v>Header / Navigation</x:v>
      </x:c>
      <x:c r="D13" s="35" t="str">
        <x:v>UI / Content</x:v>
      </x:c>
      <x:c r="E13" s="35" t="str">
        <x:v>Confirmed</x:v>
      </x:c>
      <x:c r="F13" s="35" t="str">
        <x:v>Low</x:v>
      </x:c>
      <x:c r="G13" s="35" t="str">
        <x:v>Low / Medium</x:v>
      </x:c>
      <x:c r="H13" s="33" t="str">
        <x:v>Navigation/content text displays Contakt instead of Contact.</x:v>
      </x:c>
      <x:c r="I13" s="33" t="str">
        <x:v>Not explicitly stated in source document.</x:v>
      </x:c>
      <x:c r="J13" s="33" t="str">
        <x:v>Open buggy app verify contact link Login to the buggy application contact link Locate the Contact option. Record the exact displayed text. Check and Compare with clean application .</x:v>
      </x:c>
      <x:c r="K13" s="33" t="str">
        <x:v>The label should be displayed correctly as: Contact</x:v>
      </x:c>
      <x:c r="L13" s="33" t="str">
        <x:v>The label is displayed as: Contakt</x:v>
      </x:c>
      <x:c r="M13" s="33" t="str">
        <x:v>TC-020 — Verify profile information after login Technique: EP Initial Severity: Low Initial Priority: Low/Medium Re-execution Steps Open buggy app verify contact link Login to the buggy application contact link Locate the Contact option. Record the exact displayed text. Check and Compare with clean application . Expected Result The label should be displayed correctly as: Contact Actual Result The label is displayed as: Contakt Evidence Clean screenshot: ________________Attached Buggy screenshot…</x:v>
      </x:c>
      <x:c r="N13" s="33" t="str">
        <x:v>EP</x:v>
      </x:c>
      <x:c r="O13" s="33" t="str">
        <x:v>Not applicable or no API defect claimed.</x:v>
      </x:c>
      <x:c r="P13" s="33" t="str">
        <x:v>Navigation/content text displays Contakt instead of Contact.</x:v>
      </x:c>
      <x:c r="Q13" s="33" t="str">
        <x:v>Clean screenshot: ________________Attached Buggy screenshot: ________________Attached</x:v>
      </x:c>
      <x:c r="R13" s="33" t="str">
        <x:v>3/3</x:v>
      </x:c>
      <x:c r="S13" s="33" t="str">
        <x:v>BUG-009 — _Contakt_ Displayed Instead of _Contact_.docx</x:v>
      </x:c>
      <x:c r="T13" s="33" t="str"/>
    </x:row>
    <x:row r="14" ht="86" customHeight="1">
      <x:c r="A14" s="35" t="str">
        <x:v>BUG-010</x:v>
      </x:c>
      <x:c r="B14" s="35" t="str">
        <x:v>Logged-in User Displays "User Data not found"</x:v>
      </x:c>
      <x:c r="C14" s="35" t="str">
        <x:v>Authentication / Header</x:v>
      </x:c>
      <x:c r="D14" s="35" t="str">
        <x:v>Functional / UI</x:v>
      </x:c>
      <x:c r="E14" s="35" t="str">
        <x:v>Confirmed</x:v>
      </x:c>
      <x:c r="F14" s="35" t="str">
        <x:v>Medium</x:v>
      </x:c>
      <x:c r="G14" s="35" t="str">
        <x:v>Medium</x:v>
      </x:c>
      <x:c r="H14" s="33" t="str">
        <x:v>Authenticated user name is not displayed correctly; UI shows User not found.</x:v>
      </x:c>
      <x:c r="I14" s="33" t="str">
        <x:v>Not explicitly stated in source document.</x:v>
      </x:c>
      <x:c r="J14" s="33" t="str">
        <x:v>Launch buggy application Login using valid credentials. Capture login response. { "access_token": "eyJ0eXAiOiJKV1QiLCJhbGciOiJIUzI1NiJ9.eyJpc3MiOiJodHRwczovL2FwaS13aXRoLWJ1Z3MucHJhY3RpY2Vzb2Z0d2FyZXRlc3RpbmcuY29tL3VzZXJzL2xvZ2luIiwiaWF0IjoxNzg3NTA1NjczLCJleHAiOjE4MDMxMDU2NzMsIm5iZiI6MTc4NzUwNTY3MywianRpIjoiT2thS21mMUxmNmlEdGpNQyIsInN1YiI6IjIiLCJwcnYiOiIyM2JkNWM4OTQ5ZjYwMGFkYjM5ZTcwMWM0MDA4NzJkYjdhNTk3NmY3Iiwicm9sZSI6InVzZXIifQ.J5B1aN4HwlphNK_Gz_R4wvGHhJRZz_qRDq5LMVTzNhQ", "token_type": "bearer", "expires_in": 15600000 } Open DevTools → Network. Locate /users/me. Record response/status. Confirm returned first and last name. Another me api- failed Me response { "id": 2, "first_name": "Jane", "last_name": "Doe", "address": "Test street 98", "city": "Vienna", "state": null, "country": "Austria", "postcode": null, "phone": null, "dob": "1980-02-02", "email": "customer@practicesoftwaretesting.com", "password": "9e2ed9cb4bf54a6b9dc4669a1d295466b2585c4346092bffb5333098431cd61d", "role": "user", "enabled": 1, "failed_login_attempts": 0 } Inspect the application header/user dropdown. Record displayed name. Repeat the same steps for clean application and compare Login api response { "access_token": "eyJ0eXAiOiJKV1QiLCJhbGciOiJIUzI1NiJ9.eyJpc3MiOiJodHRwczovL2FwaS5wcmFjdGljZXNvZnR3YXJldGVzdG…</x:v>
      </x:c>
      <x:c r="K14" s="33" t="str">
        <x:v>After successful authentication, the application should use the authenticated user information returned by /users/me and display the user's name correctly in the header/user dropdown. Expected displayed name: Jane Doe The clean application also returns Jane Doe from /users/me.</x:v>
      </x:c>
      <x:c r="L14" s="33" t="str">
        <x:v>During login, two /users/me API requests were observed in the buggy application. The first /users/me request failed. A subsequent /users/me request succeeded and returned the authenticated user's information. The successful response returned: first_name: Jane last_name: Doe email: customer@practicesoftwaretesting.com Despite the successful /users/me response containing the correct authenticated user information, the buggy UI displayed "User not found" instead of "Jane Doe". The first failed /users/me request is recorded as a network observation. The execution evidence does not establish the root cause of that failed request, so it is not treated as a separate confirmed defect within BUG-010. API Result The successful /users/me response confirms that the authenticated user is Jane Doe. Expected Result After successful authentication, the application should use the authenticated user information returned by /users/me and display the user's name correctly in the header/user dropdown. Expected displayed name: Jane Doe The clean application also returns Jane Doe from /users/me.</x:v>
      </x:c>
      <x:c r="M14" s="33" t="str">
        <x:v>TC-001 — Login with valid credentials TC-020 — Verify profile information after login API-003 — Retrieve authenticated user information Technique: ST Initial Severity: Medium Initial Priority: Medium Existing API Evidence The clean exploration shows /users/me returning the authenticated user as Jane Doe. Re-execution Steps Launch buggy application Login using valid credentials. Capture login response. { "access_token": "eyJ0eXAiOiJKV1QiLCJhbGciOiJIUzI1NiJ9.eyJpc3MiOiJodHRwczovL2FwaS13aXRoLWJ1Z3…</x:v>
      </x:c>
      <x:c r="N14" s="33" t="str">
        <x:v>ST</x:v>
      </x:c>
      <x:c r="O14" s="33" t="str">
        <x:v>Not applicable or no API defect claimed.</x:v>
      </x:c>
      <x:c r="P14" s="33" t="str">
        <x:v>Authenticated user name is not displayed correctly; UI shows User not found.</x:v>
      </x:c>
      <x:c r="Q14" s="33" t="str">
        <x:v>/users/login response: Attached First /users/me failed request: Attached Successful buggy /users/me response: Attached Buggy UI showing "User not found": Attached Clean /users/me response: Attached Clean UI comparison: Attached</x:v>
      </x:c>
      <x:c r="R14" s="33" t="str">
        <x:v>1/1 documented; repeat rate not supplied</x:v>
      </x:c>
      <x:c r="S14" s="33" t="str">
        <x:v>BUG-010 — Logged-in User Displays _User Data not found_ (1).docx</x:v>
      </x:c>
      <x:c r="T14" s="33" t="str">
        <x:v>Sensitive tokens and password-hash values were intentionally omitted from this workbook.</x:v>
      </x:c>
    </x:row>
    <x:row r="15" ht="86" customHeight="1">
      <x:c r="A15" s="35" t="str">
        <x:v>BUG-011</x:v>
      </x:c>
      <x:c r="B15" s="35" t="str">
        <x:v>Cart Product Removal Does Not Behave Correctly</x:v>
      </x:c>
      <x:c r="C15" s="35" t="str">
        <x:v>Cart / Product Removal</x:v>
      </x:c>
      <x:c r="D15" s="35" t="str">
        <x:v>Functional / State</x:v>
      </x:c>
      <x:c r="E15" s="35" t="str">
        <x:v>Confirmed</x:v>
      </x:c>
      <x:c r="F15" s="35" t="str">
        <x:v>High</x:v>
      </x:c>
      <x:c r="G15" s="35" t="str">
        <x:v>High</x:v>
      </x:c>
      <x:c r="H15" s="33" t="str">
        <x:v>Deleting/removing a product from the cart does not behave correctly.</x:v>
      </x:c>
      <x:c r="I15" s="33" t="str">
        <x:v>Not explicitly stated in source document.</x:v>
      </x:c>
      <x:c r="J15" s="33" t="str">
        <x:v>Launch url of buggy app and login to the application with given credential Add Product A to cart. Add Product B to cart. Open cart. API me response on click of the cart icon { "id": 2, "first_name": "Jane", "last_name": "Doe", "address": "Test street 98", "city": "Vienna", "state": null, "country": "Austria", "postcode": null, "phone": null, "dob": "1980-02-02", "email": "customer@practicesoftwaretesting.com", "password": "9e2ed9cb4bf54a6b9dc4669a1d295466b2585c4346092bffb5333098431cd61d", "role": "user", "enabled": 1, "failed_login_attempts": 0 } Record both products and quantities. Remove Product A. Verify Product A is removed. Verify Product B remains. Clicking on the red cross icon against the product A= Claw Hammer, is not removing the product from the cart list on the cart page Increasing each product quantity to 2 , and then verify subtotal. sub total are showing zero for each type of product instead of expected value Refresh the page. Verify Product A remains removed. Compare clean application. (perform same functionality on clean app) For Claw Hammer { "id": "01m0tpfd009jxecd367cm54wcg", "additional_discount_percentage": null, "lat": null, "lng": null, "cart_items": [ { "id": "01m0tpfdcqn6785pvd1kxqh3sj", "quantity": 1, "discount_percentage": null, "cart_id": "01m0tpfd00…</x:v>
      </x:c>
      <x:c r="K15" s="33" t="str">
        <x:v>The selected product should be successfully removed from the cart. The remaining product(s) should continue to be displayed with their correct quantities and prices. The cart subtotal/total should be recalculated correctly after the removal or quantity change. The cart state should remain correct after refreshing the page, and the backend cart data should reflect the updated cart state.</x:v>
      </x:c>
      <x:c r="L15" s="33" t="str">
        <x:v>When the red cross/remove button was clicked against Claw Hammer, the product was not removed from the cart list in the buggy application. The execution document explicitly records that Product A (Claw Hammer) remained on the cart page after the removal action. During the same cart execution, additional cart-state issues were observed: After increasing the product quantity to 2, the displayed line-item subtotal/total was shown as $0.00 instead of the expected calculated value. The cart financial values therefore became inconsistent with the product price and quantity. The document also captured the quantity-update API evidence and the post-refresh cart state for comparison with the clean application. The expected application behaviour includes a “Product quantity updated.” notification and corresponding quantity-update behaviour. The buggy cart page labels the column containing the red Remove (×) action button as “Total”. In the clean application, the remove-action column does not have a “Total” column heading. Therefore, the buggy application displays an incorrect/misleading column label for the remove action. The execution document also records that the clean application was use…</x:v>
      </x:c>
      <x:c r="M15" s="33" t="str">
        <x:v>TC-009 — Remove a product from cart TC-007 — Add one product and verify cart subtotal TC-008 — Add multiple products with different prices TC-016 — Verify cart subtotal, tax/discount and final total API-006 — Cart / Order API Technique: State Transition (ST) / Boundary Value Analysis (BVA) Re-execution Steps Launch url of buggy app and login to the application with given credential Add Product A to cart. Add Product B to cart. Open cart. API me response on click of the cart icon { "id": 2, "fir…</x:v>
      </x:c>
      <x:c r="N15" s="33" t="str">
        <x:v>State Transition (ST) / Boundary Value Analysis (BVA)</x:v>
      </x:c>
      <x:c r="O15" s="33" t="str">
        <x:v>Not applicable or no API defect claimed.</x:v>
      </x:c>
      <x:c r="P15" s="33" t="str">
        <x:v>Deleting/removing a product from the cart does not behave correctly.</x:v>
      </x:c>
      <x:c r="Q15" s="33" t="str">
        <x:v>Clean application screenshot: Attached Buggy application screenshot: Attached Cart API evidence: Attached Quantity update API evidence: Attached Post-refresh API/UI evidence: Attached</x:v>
      </x:c>
      <x:c r="R15" s="33" t="str">
        <x:v>1/1 — 100%</x:v>
      </x:c>
      <x:c r="S15" s="33" t="str">
        <x:v>BUG-011 — Cart Product Removal Does Not Behave Correctly.docx</x:v>
      </x:c>
      <x:c r="T15" s="33" t="str">
        <x:v>Sensitive tokens and password-hash values were intentionally omitted from this workbook.</x:v>
      </x:c>
    </x:row>
    <x:row r="16" ht="86" customHeight="1">
      <x:c r="A16" s="35" t="str">
        <x:v>BUG-012</x:v>
      </x:c>
      <x:c r="B16" s="35" t="str">
        <x:v>Required Billing Fields Missing</x:v>
      </x:c>
      <x:c r="C16" s="35" t="str">
        <x:v>Checkout / Billing</x:v>
      </x:c>
      <x:c r="D16" s="35" t="str">
        <x:v>Functional / UI</x:v>
      </x:c>
      <x:c r="E16" s="35" t="str">
        <x:v>Confirmed</x:v>
      </x:c>
      <x:c r="F16" s="35" t="str">
        <x:v>High</x:v>
      </x:c>
      <x:c r="G16" s="35" t="str">
        <x:v>High</x:v>
      </x:c>
      <x:c r="H16" s="33" t="str">
        <x:v>Buggy billing page is missing Country, Postal Code and House Number fields that are present in the clean application.</x:v>
      </x:c>
      <x:c r="I16" s="33" t="str">
        <x:v>Not explicitly stated in source document.</x:v>
      </x:c>
      <x:c r="J16" s="33" t="str">
        <x:v>Add 2 product. Open cart. Proceed to checkout.(here this is no api call) Clean app \\ Open billing page. Record all billing fields in clean application. Record all billing fields in buggy application. Specifically verify: Country Postal Code House Number Proceed to checkout button label absent Attempt to complete billing information. No API call of post code in buggy app due to the absence of house number in the page Compare whether the missing fields affect checkout. Capture clean and buggy screenshots. Clean app billing UI API Post code in clean app { "street": "Kassulke Stream", "house_number": "33", "city": "Silastown", "state": "Nevada", "country": "IN", "postcode": "243234" }</x:v>
      </x:c>
      <x:c r="K16" s="33" t="str">
        <x:v>The billing page should provide all required fields needed to enter and submit a complete billing address. Based on the clean application, the billing form should include: Country Postal Code House Number The corresponding billing/address data should also be represented correctly in the API request/response. The clean application API evidence shows the address data containing: street house_number city state country postcode</x:v>
      </x:c>
      <x:c r="L16" s="33" t="str">
        <x:v>In the buggy application, the billing page is missing the following fields that are available in the clean application: Country Postal Code House Number The clean application displays these billing fields, while the corresponding buggy billing form does not provide them. This difference is captured in the clean and buggy UI screenshots in the execution evidence. Additionally: The buggy application does not provide the House Number field required to capture the complete billing address. The expected Postal Code interaction is therefore also absent. During the buggy-app execution, no corresponding Postal Code API call was observed, as documented in the execution. The clean application shows the corresponding billing/address data and API evidence, including house_number and postcode. Additional Observation The buggy billing page also shows the Proceed/Next button without a visible text label, whereas the clean application provides a labelled checkout action. This is a related checkout UI issue and should be tracked separately under the appropriate existing bug rather than making BUG-012 broader than necessary. Billing Field Validation The clean API evidence demonstrates that house_nu…</x:v>
      </x:c>
      <x:c r="M16" s="33" t="str">
        <x:v>TC-012 — Submit valid billing information Technique: EP Initial Severity: High Initial Priority: High Re-execution Steps Add 2 product. Open cart. Proceed to checkout.(here this is no api call) Clean app \\ Open billing page. Record all billing fields in clean application. Record all billing fields in buggy application. Specifically verify: Country Postal Code House Number Proceed to checkout button label absent Attempt to complete billing information. No API call of post code in buggy app due …</x:v>
      </x:c>
      <x:c r="N16" s="33" t="str">
        <x:v>EP</x:v>
      </x:c>
      <x:c r="O16" s="33" t="str">
        <x:v>Not applicable or no API defect claimed.</x:v>
      </x:c>
      <x:c r="P16" s="33" t="str">
        <x:v>Buggy billing page is missing Country, Postal Code and House Number fields that are present in the clean application.</x:v>
      </x:c>
      <x:c r="Q16" s="33" t="str">
        <x:v>Keep your existing screenshots in their current locations. Clean billing UI: existing screenshot Buggy billing UI: existing screenshot Clean billing/address API: existing screenshot Buggy network evidence: existing screenshot showing no Postal Code-related request Clean vs Buggy field comparison: existing screenshot/table The execution already contains the required evidence.</x:v>
      </x:c>
      <x:c r="R16" s="33" t="str">
        <x:v>1/1 — 100%</x:v>
      </x:c>
      <x:c r="S16" s="33" t="str">
        <x:v>BUG-012 — Required Billing Fields Missing.docx</x:v>
      </x:c>
      <x:c r="T16" s="33" t="str"/>
    </x:row>
    <x:row r="17" ht="86" customHeight="1">
      <x:c r="A17" s="35" t="str">
        <x:v>BUG-013</x:v>
      </x:c>
      <x:c r="B17" s="35" t="str">
        <x:v>Billing Address: “Proceed to checkout” Button Has No Visible Label</x:v>
      </x:c>
      <x:c r="C17" s="35" t="str">
        <x:v>Checkout / Billing</x:v>
      </x:c>
      <x:c r="D17" s="35" t="str">
        <x:v>UI / Accessibility</x:v>
      </x:c>
      <x:c r="E17" s="35" t="str">
        <x:v>Confirmed</x:v>
      </x:c>
      <x:c r="F17" s="35" t="str">
        <x:v>Medium</x:v>
      </x:c>
      <x:c r="G17" s="35" t="str">
        <x:v>Medium</x:v>
      </x:c>
      <x:c r="H17" s="33" t="str">
        <x:v>Proceed to the checkout button is not labeled the same as present in the clean application Billing Address page.</x:v>
      </x:c>
      <x:c r="I17" s="33" t="str">
        <x:v>Not explicitly stated in source document.</x:v>
      </x:c>
      <x:c r="J17" s="33" t="str">
        <x:v>Navigate to the billing page. Inspect the Proceed to checkout button. Record exact label in buggy application. Record exact label in clean application. Verify whether after entering all the data the user is able to navigate to the next page in buggy app</x:v>
      </x:c>
      <x:c r="K17" s="33" t="str">
        <x:v>The Billing Address page should display a clearly labelled button: Proceed to checkout The label should allow the user to understand the purpose of the button and proceed from the Billing Address step to the Payment step. In the clean application, the button is visibly labelled “Proceed to checkout”, and clicking it allows the user to proceed to the Payment page. The execution evidence shows the clean application reaching the Payment step.</x:v>
      </x:c>
      <x:c r="L17" s="33" t="str">
        <x:v>In the buggy application, the button at the bottom of the Billing Address form is blank and has no visible text label. The button is present and can be used to proceed to the next step, but the user is not provided with the expected “Proceed to checkout” label. The execution evidence shows that: The buggy Billing Address page contains the button without a visible label. The clean application displays the button with the label “Proceed to checkout”. After entering the required billing information and using the button, the buggy application is able to navigate to the Payment step. Therefore, the defect is specifically the missing/blank button label, not a complete failure of checkout navigation. UI Comparison Functional Validation The execution confirms that the button is functionally usable and allows navigation to the Payment step. Therefore: Functional navigation works, but the button's user-facing label is missing. This is important because we should not report this as a checkout-blocking defect. API / Network Observation No API defect is being claimed for BUG-013. The defect concerns the UI label/text of the Billing Address action button. The execution also captured the navigat…</x:v>
      </x:c>
      <x:c r="M17" s="33" t="str">
        <x:v>TC-012 — Submit valid billing information Technique: EP Initial Severity: Medium Initial Priority: Medium Re-execution Steps Navigate to the billing page. Inspect the Proceed to checkout button. Record exact label in buggy application. Record exact label in clean application. Verify whether after entering all the data the user is able to navigate to the next page in buggy app Expected Result The Billing Address page should display a clearly labelled button: Proceed to checkout The label should …</x:v>
      </x:c>
      <x:c r="N17" s="33" t="str">
        <x:v>EP</x:v>
      </x:c>
      <x:c r="O17" s="33" t="str">
        <x:v>Not applicable or no API defect claimed.</x:v>
      </x:c>
      <x:c r="P17" s="33" t="str">
        <x:v>Proceed to the checkout button is not labeled the same as present in the clean application Billing Address page.</x:v>
      </x:c>
      <x:c r="Q17" s="33" t="str">
        <x:v>Keep the screenshots exactly where they are in your existing document. Buggy Billing Address screenshot: existing screenshot from Step 3 Buggy button/DOM inspection evidence: existing screenshot from Step 3 Clean Billing Address screenshot: existing screenshot from Step 4 Clean navigation to Payment: existing screenshot from Step 5 The execution document already contains these comparisons.</x:v>
      </x:c>
      <x:c r="R17" s="33" t="str">
        <x:v>2/2 — 100%</x:v>
      </x:c>
      <x:c r="S17" s="33" t="str">
        <x:v>BUG-013 — Billing Address_ “Proceed to checkout” Button Has No Visible Label.docx</x:v>
      </x:c>
      <x:c r="T17" s="33" t="str"/>
    </x:row>
    <x:row r="18" ht="86" customHeight="1">
      <x:c r="A18" s="35" t="str">
        <x:v>BUG-014</x:v>
      </x:c>
      <x:c r="B18" s="35" t="str">
        <x:v>Login Page/Header Contains Missing and Incorrect UI Elements</x:v>
      </x:c>
      <x:c r="C18" s="35" t="str">
        <x:v>Authentication / Header</x:v>
      </x:c>
      <x:c r="D18" s="35" t="str">
        <x:v>UI / Authentication</x:v>
      </x:c>
      <x:c r="E18" s="35" t="str">
        <x:v>Confirmed</x:v>
      </x:c>
      <x:c r="F18" s="35" t="str">
        <x:v>Medium</x:v>
      </x:c>
      <x:c r="G18" s="35" t="str">
        <x:v>Medium</x:v>
      </x:c>
      <x:c r="H18" s="33" t="str">
        <x:v>The buggy application's Login page and header differ from the clean reference application. The “Sign in with Google” authentication option and language selector are missing, the Toolshop branding is missing/broken, and the Contact navigation label is incorrectly spelled as “Contakt.”</x:v>
      </x:c>
      <x:c r="I18" s="33" t="str">
        <x:v>Not explicitly stated in source document.</x:v>
      </x:c>
      <x:c r="J18" s="33" t="str">
        <x:v>Open the clean reference application. Navigate to the Login page. Observe the Login page and the top navigation/header. Verify whether the “Sign in with Google” option is displayed. Open the language selector in the header and record the available options. Verify that the Toolshop logo/branding is displayed correctly. Verify the spelling of the Contact navigation link. Capture the clean application screenshot as evidence. Open the buggy application. Navigate to the Login page. Observe the Login page and top navigation/header. Verify whether the “Sign in with Google” option is displayed. Check whether the language selector is available. Verify whether the Toolshop logo/branding is displayed correctly. Check the spelling of the Contact navigation link. Compare the buggy application against the clean reference application. Capture the buggy application screenshot as evidence. Verify that the standard email/password Login controls, Register link and Forgot Password link remain available.</x:v>
      </x:c>
      <x:c r="K18" s="33" t="str">
        <x:v>The Login page and header should provide the expected authentication and navigation elements available in the clean reference application: “Sign in with Google” should be displayed as an available authentication option. The language selector should be displayed and provide the supported language options. The Toolshop logo/branding should be displayed correctly. The navigation link should be correctly labelled “Contact.” Standard email/password login functionality should be available.</x:v>
      </x:c>
      <x:c r="L18" s="33" t="str">
        <x:v>The buggy application differs from the clean application in the following areas: “Sign in with Google” is missing The clean application displays the Google authentication option. The buggy application does not display it. Language selector is missing The clean application provides the language selector and its available language options. The buggy application's header does not provide the language selector. Toolshop branding is missing/broken The clean application displays the Toolshop logo/branding. The buggy application displays a missing/broken image instead of the expected branding. Contact link is incorrectly spelled Clean application: Contact Buggy application: Contakt The standard email/password login controls remain available in the buggy application, only UI element size are different as compare to clean app UI Comparison</x:v>
      </x:c>
      <x:c r="M18" s="33" t="str">
        <x:v>TC-001 — Login with valid user credentials TC-020 — Verify account/profile information Technique: EP / ST Initial Severity: Medium Initial Priority: Medium Re-execution Steps Open the clean reference application. Navigate to the Login page. Observe the Login page and the top navigation/header. Verify whether the “Sign in with Google” option is displayed. Open the language selector in the header and record the available options. Verify that the Toolshop logo/branding is displayed correctly. Veri…</x:v>
      </x:c>
      <x:c r="N18" s="33" t="str">
        <x:v>EP / ST</x:v>
      </x:c>
      <x:c r="O18" s="33" t="str">
        <x:v>Not required for this defect. The primary differences are UI/header elements. No API failure is being claimed based on this execution.</x:v>
      </x:c>
      <x:c r="P18" s="33" t="str">
        <x:v>The buggy application's Login page and header differ from the clean reference application. The “Sign in with Google” authentication option and language selector are missing, the Toolshop branding is missing/broken, and the Contact navigation label is incorrectly spelled as “Contakt.”</x:v>
      </x:c>
      <x:c r="Q18" s="33" t="str">
        <x:v>Clean Login page screenshot: ________________Attached Buggy Login page screenshot: ________________Attached Clean language dropdown screenshot: ________________Attached Buggy header screenshot: ________________Attached Clean Toolshop branding screenshot: ________________Attached Buggy broken/missing branding screenshot: ________________Attached API / Network Evidence Not required for this defect. The primary differences are UI/header elements. No API failure is being claimed based on this execution.</x:v>
      </x:c>
      <x:c r="R18" s="33" t="str">
        <x:v>1/1 — 100%</x:v>
      </x:c>
      <x:c r="S18" s="33" t="str">
        <x:v>BUG-014 — Login Page_Header Contains Missing and Incorrect UI Elements.docx</x:v>
      </x:c>
      <x:c r="T18" s="33" t="str"/>
    </x:row>
    <x:row r="19" ht="86" customHeight="1">
      <x:c r="A19" s="35" t="str">
        <x:v>BUG-015</x:v>
      </x:c>
      <x:c r="B19" s="35" t="str">
        <x:v>Cart Quantity Update Does Not Trigger Expected Update Behaviour</x:v>
      </x:c>
      <x:c r="C19" s="35" t="str">
        <x:v>Cart / Quantity Update</x:v>
      </x:c>
      <x:c r="D19" s="35" t="str">
        <x:v>Functional / API</x:v>
      </x:c>
      <x:c r="E19" s="35" t="str">
        <x:v>Confirmed</x:v>
      </x:c>
      <x:c r="F19" s="35" t="str">
        <x:v>Medium</x:v>
      </x:c>
      <x:c r="G19" s="35" t="str">
        <x:v>High</x:v>
      </x:c>
      <x:c r="H19" s="33" t="str">
        <x:v>When the product quantity is changed on the cart page, the buggy application does not display the expected “Product quantity updated.” confirmation message and does not trigger the corresponding quantity-update API request as observed in the clean application.</x:v>
      </x:c>
      <x:c r="I19" s="33" t="str">
        <x:v>Not explicitly stated in source document.</x:v>
      </x:c>
      <x:c r="J19" s="33" t="str">
        <x:v>Open the clean reference application. Add a product to the cart. Open the cart/checkout page. { "id": "01m0wt2553qjrxbc856ka5sv4f", "additional_discount_percentage": null, "lat": null, "lng": null, "cart_items": [ { "id": "01m0wt25gqc3gf5re7jxwrapp1", "quantity": 1, "discount_percentage": null, "cart_id": "01m0wt2553qjrxbc856ka5sv4f", "product_id": "01M0WPZJ695Y7ZY7DXJKGC2RY1", "product": { "id": "01M0WPZJ695Y7ZY7DXJKGC2RY1", "name": "Bolt Cutters", "description": "Heavy-duty bolt cutters engineered to slice through hardened bolts, chains, padlocks, and wire fencing with minimal effort. The compound leverage mechanism multiplies your cutting force by a factor of 30, enabling clean cuts through materials up to 10mm in diameter. Hardened alloy steel blades are precisely ground and heat-treated to maintain a sharp edge through years of repeated use on tough materials. Ergonomic rubber grips and the generous 750mm handle length provide excellent control, leverage, and reach during overhead or awkward-angle cuts. An adjustable blade tension screw lets you fine-tune the jaw alignment for optimal cutting performance. Built for demolition crews, locksmiths, fencing contractors, and maintenance professionals who need reliable cutting power day after day.", "price": 48.41, "is_location_of…</x:v>
      </x:c>
      <x:c r="K19" s="33" t="str">
        <x:v>When the product quantity is changed: The quantity should be updated correctly. The application should display the expected confirmation message: “Product quantity updated.” The corresponding quantity-update API/network request should be triggered to persist/process the updated quantity, consistent with the clean application's behaviour. The cart should reflect the updated quantity and associated calculations correctly.</x:v>
      </x:c>
      <x:c r="L19" s="33" t="str">
        <x:v>In the buggy application: The product quantity can be changed on the cart page. However, the expected “Product quantity updated.” toast/message is not displayed after the quantity is changed. No corresponding quantity-update API/network request is observed in the buggy application's Network tab for the quantity-change action. This differs from the clean application, where the quantity update produces the “Product quantity updated.” confirmation message and a corresponding quantity-update API request is observed. Clean vs Buggy Comparison API / Network Validation Clean Application Quantity change from 1 → 2 generates the corresponding quantity-update network/API request. Request: ____________________________Attached Method: ____________________________Attached Status: ____________________________Attached Response: ____________________________Attached Buggy Application After changing quantity from 1 → 2: Quantity-update request: Not observed Expected request: ____________________________ Observed buggy network behaviour: No corresponding quantity-update API request was captured for the quantity-change action. UI Validation</x:v>
      </x:c>
      <x:c r="M19" s="33" t="str">
        <x:v>TC-006 — Change product quantity using + / − controls TC-010 — Validate quantity boundary values TC-008 — Add multiple products / verify cart calculations API-006 — Cart / Order API Technique: BVA / ST Initial Severity: Medium Initial Priority: High Re-execution Steps Open the clean reference application. Add a product to the cart. Open the cart/checkout page. { "id": "01m0wt2553qjrxbc856ka5sv4f", "additional_discount_percentage": null, "lat": null, "lng": null, "cart_items": [ { "id": "01m0wt2…</x:v>
      </x:c>
      <x:c r="N19" s="33" t="str">
        <x:v>BVA / ST</x:v>
      </x:c>
      <x:c r="O19" s="33" t="str">
        <x:v>Not applicable or no API defect claimed.</x:v>
      </x:c>
      <x:c r="P19" s="33" t="str">
        <x:v>When the product quantity is changed on the cart page, the buggy application does not display the expected “Product quantity updated.” confirmation message and does not trigger the corresponding quantity-update API request as observed in the clean application.</x:v>
      </x:c>
      <x:c r="Q19" s="33" t="str">
        <x:v>Keep your existing execution screenshots in the document. Clean cart quantity update screenshot: ________________Attached Clean “Product quantity updated.” toast screenshot: ______________Attached Clean quantity-update API/network screenshot: ____________Attached Buggy cart quantity update screenshot: ______________Attached Buggy application — no toast: ____________Attached Buggy Network screenshot showing no quantity-update request: ___Attached Evidence Rule The strongest evidence for this bug is the side-by-side clean vs buggy comparison: Clean: Quantity changed → API request → “Product quantity updated.” Buggy: Quantity changed → no corresponding API request → no “Product quantity updated.” toast</x:v>
      </x:c>
      <x:c r="R19" s="33" t="str">
        <x:v>2/2 — 100%</x:v>
      </x:c>
      <x:c r="S19" s="33" t="str">
        <x:v>BUG-015 — Cart Quantity Update Does Not Trigger Expected Update Behaviour.docx</x:v>
      </x:c>
      <x:c r="T19" s="33" t="str"/>
    </x:row>
    <x:row r="20" ht="86" customHeight="1">
      <x:c r="A20" s="35" t="str">
        <x:v>BUG-016</x:v>
      </x:c>
      <x:c r="B20" s="35" t="str">
        <x:v>Payment Method Dropdown Displays Invalid Option</x:v>
      </x:c>
      <x:c r="C20" s="35" t="str">
        <x:v>Checkout / Payment</x:v>
      </x:c>
      <x:c r="D20" s="35" t="str">
        <x:v>Functional / UI</x:v>
      </x:c>
      <x:c r="E20" s="35" t="str">
        <x:v>Confirmed</x:v>
      </x:c>
      <x:c r="F20" s="35" t="str">
        <x:v>Medium</x:v>
      </x:c>
      <x:c r="G20" s="35" t="str">
        <x:v>High</x:v>
      </x:c>
      <x:c r="H20" s="33" t="str">
        <x:v>The Payment Method dropdown in the buggy application displays an additional “Error 304 - Missing Payment Gateway” option that is not present in the clean reference application.</x:v>
      </x:c>
      <x:c r="I20" s="33" t="str">
        <x:v>Not explicitly stated in source document.</x:v>
      </x:c>
      <x:c r="J20" s="33" t="str">
        <x:v>Proceed through the shopping flow up to the Payment page in the clean application. Open the Payment Method dropdown. Record all available payment-method options. Capture the clean application screenshot. Repeat the same steps in the buggy application. Open the Payment Method dropdown. Record all available payment-method options. Capture the buggy application screenshot. Compare the payment-method options between the clean and buggy applications.</x:v>
      </x:c>
      <x:c r="K20" s="33" t="str">
        <x:v>The Payment Method dropdown should display only the valid/supported payment methods available in the clean reference application: Bank Transfer Cash on Delivery Credit Card Buy Now Pay Later Gift Card</x:v>
      </x:c>
      <x:c r="L20" s="33" t="str">
        <x:v>The buggy application displays all five payment methods available in the clean application, but also displays an additional option: Error 304 - Missing Payment Gateway This error message is exposed as a selectable payment-method option in the dropdown, although it is not present in the clean application. Payment Method Comparison API / Network Observation No API defect is being claimed at this stage. The UI comparison confirms that the buggy application exposes an additional invalid/error option. API/network evidence can be added if a relevant payment-method/configuration API is identified during further validation.</x:v>
      </x:c>
      <x:c r="M20" s="33" t="str">
        <x:v>TC-013 — Select each supported payment method Technique: EP / DT Initial Severity: Medium Initial Priority: High Re-execution Steps Proceed through the shopping flow up to the Payment page in the clean application. Open the Payment Method dropdown. Record all available payment-method options. Capture the clean application screenshot. Repeat the same steps in the buggy application. Open the Payment Method dropdown. Record all available payment-method options. Capture the buggy application screen…</x:v>
      </x:c>
      <x:c r="N20" s="33" t="str">
        <x:v>EP / DT</x:v>
      </x:c>
      <x:c r="O20" s="33" t="str">
        <x:v>Not applicable or no API defect claimed.</x:v>
      </x:c>
      <x:c r="P20" s="33" t="str">
        <x:v>The Payment Method dropdown in the buggy application displays an additional “Error 304 - Missing Payment Gateway” option that is not present in the clean reference application.</x:v>
      </x:c>
      <x:c r="Q20" s="33" t="str">
        <x:v>Clean payment-method dropdown screenshot: ________________Attached Buggy payment-method dropdown screenshot: ________________Attached Relevant Network/API screenshot, if identified: ________________Attached</x:v>
      </x:c>
      <x:c r="R20" s="33" t="str">
        <x:v>2/2 — 100%</x:v>
      </x:c>
      <x:c r="S20" s="33" t="str">
        <x:v>BUG-016 — Payment Method Dropdown Displays Invalid Option.docx</x:v>
      </x:c>
      <x:c r="T20" s="33" t="str"/>
    </x:row>
    <x:row r="21" ht="86" customHeight="1">
      <x:c r="A21" s="35" t="str">
        <x:v>BUG-017</x:v>
      </x:c>
      <x:c r="B21" s="35" t="str">
        <x:v>Payment Account Fields Displayed Before Payment Method Selection</x:v>
      </x:c>
      <x:c r="C21" s="35" t="str">
        <x:v>Checkout / Payment</x:v>
      </x:c>
      <x:c r="D21" s="35" t="str">
        <x:v>Functional / UI</x:v>
      </x:c>
      <x:c r="E21" s="35" t="str">
        <x:v>Confirmed</x:v>
      </x:c>
      <x:c r="F21" s="35" t="str">
        <x:v>Medium</x:v>
      </x:c>
      <x:c r="G21" s="35" t="str">
        <x:v>Medium</x:v>
      </x:c>
      <x:c r="H21" s="33" t="str">
        <x:v>On initial landing on the Payment page, the buggy application displays Account Name and Account Number fields before any payment method has been selected. In the clean application, these payment/account-specific fields are not displayed initially. Only the payment-method dropdown and Confirm button are displayed.</x:v>
      </x:c>
      <x:c r="I21" s="33" t="str">
        <x:v>Not explicitly stated in source document.</x:v>
      </x:c>
      <x:c r="J21" s="33" t="str">
        <x:v>Proceed through the application until the Payment page is displayed. Do not select any payment method. Observe the initial Payment page in the clean application. Capture the Payment page UI as evidence. Repeat the same steps in the buggy application. Observe the fields displayed before selecting a payment method. Compare the clean and buggy applications. Open DevTools → Network and observe whether any application-specific API request is triggered during initial page load. Capture the relevant UI and Network evidence.</x:v>
      </x:c>
      <x:c r="K21" s="33" t="str">
        <x:v>When the Payment page is initially loaded and no payment method has been selected, only the Payment Method dropdown and Confirm button should be displayed. Payment-specific/account-specific fields should be displayed only after the user selects a payment method for which those fields are applicable.</x:v>
      </x:c>
      <x:c r="L21" s="33" t="str">
        <x:v>In the buggy application, the following fields are displayed immediately on initial landing on the Payment page, without selecting any payment method: Your Account name * Your Account number * The Payment Method dropdown and Confirm button are also displayed. In comparison, the clean application initially displays only the payment-method dropdown and Confirm button; the Account Name and Account Number fields are not displayed before payment-method selection. UI Comparison Network Observation Clean App: ____________________________________________ Buggy App: ____________________________________________ Note: The /cdn-cgi/rum request observed during page loading is Cloudflare RUM/performance telemetry and should not be treated as a payment API call. If no payment-specific application API request is observed during initial landing, record that as an observation rather than claiming an API defect.</x:v>
      </x:c>
      <x:c r="M21" s="33" t="str">
        <x:v>TC-013 — Select each supported payment method Technique: DT — Decision Table Initial Severity: Medium Initial Priority: Medium Re-execution Steps Proceed through the application until the Payment page is displayed. Do not select any payment method. Observe the initial Payment page in the clean application. Capture the Payment page UI as evidence. Repeat the same steps in the buggy application. Observe the fields displayed before selecting a payment method. Compare the clean and buggy applicatio…</x:v>
      </x:c>
      <x:c r="N21" s="33" t="str">
        <x:v>DT — Decision Table</x:v>
      </x:c>
      <x:c r="O21" s="33" t="str">
        <x:v>Not applicable or no API defect claimed.</x:v>
      </x:c>
      <x:c r="P21" s="33" t="str">
        <x:v>On initial landing on the Payment page, the buggy application displays Account Name and Account Number fields before any payment method has been selected. In the clean application, these payment/account-specific fields are not displayed initially. Only the payment-method dropdown and Confirm button are displayed.</x:v>
      </x:c>
      <x:c r="Q21" s="33" t="str">
        <x:v>Clean Payment page screenshot: ________________________Attached Buggy Payment page screenshot: ________________________Attached Clean Network screenshot: ________________________Attached Buggy Network screenshot: ________________________Attached</x:v>
      </x:c>
      <x:c r="R21" s="33" t="str">
        <x:v>Always (document wording)</x:v>
      </x:c>
      <x:c r="S21" s="33" t="str">
        <x:v>BUG-017 — Payment Account Fields Displayed Before Payment Method Selection.docx</x:v>
      </x:c>
      <x:c r="T21" s="33" t="str"/>
    </x:row>
    <x:row r="22" ht="86" customHeight="1">
      <x:c r="A22" s="35" t="str">
        <x:v>BUG-018</x:v>
      </x:c>
      <x:c r="B22" s="35" t="str">
        <x:v>Payment Method Does Not Display the Correct Payment Fields</x:v>
      </x:c>
      <x:c r="C22" s="35" t="str">
        <x:v>Checkout / Payment</x:v>
      </x:c>
      <x:c r="D22" s="35" t="str">
        <x:v>Functional / UI</x:v>
      </x:c>
      <x:c r="E22" s="35" t="str">
        <x:v>Confirmed</x:v>
      </x:c>
      <x:c r="F22" s="35" t="str">
        <x:v>High</x:v>
      </x:c>
      <x:c r="G22" s="35" t="str">
        <x:v>High</x:v>
      </x:c>
      <x:c r="H22" s="33" t="str">
        <x:v>Incorrect payment fields are displayed when different payment methods are selected; Account Name and Account Number remain visible instead of method-specific fields.</x:v>
      </x:c>
      <x:c r="I22" s="33" t="str">
        <x:v>User can reach Checkout Step 4 — Payment, and the payment-method dropdown is available.</x:v>
      </x:c>
      <x:c r="J22" s="33" t="str">
        <x:v>Reach Checkout → Payment. Select Bank Transfer, Cash on Delivery, Credit Card, Buy Now Pay Later, and Gift Card one at a time. Compare the fields displayed in the clean and buggy applications.</x:v>
      </x:c>
      <x:c r="K22" s="33" t="str">
        <x:v>Bank Transfer: Bank Name, Account Name, Account Number. Cash on Delivery: no additional fields. Credit Card: Card Number, Expiration Date, CVV, Card Holder Name. Buy Now Pay Later: Monthly Installments. Gift Card: Gift Card Number and Validation Code.</x:v>
      </x:c>
      <x:c r="L22" s="33" t="str">
        <x:v>The buggy app repeatedly displays Account Name and Account Number for multiple payment methods. Bank Name is missing for Bank Transfer, and the correct fields are absent for Cash on Delivery, Credit Card, Buy Now Pay Later, and Gift Card.</x:v>
      </x:c>
      <x:c r="M22" s="33" t="str">
        <x:v>TC-013 — Select each supported payment method</x:v>
      </x:c>
      <x:c r="N22" s="33" t="str">
        <x:v>Decision Table / Comparison Testing</x:v>
      </x:c>
      <x:c r="O22" s="33" t="str">
        <x:v>No payment-method-specific network request was captured in the supplied evidence.</x:v>
      </x:c>
      <x:c r="P22" s="33" t="str">
        <x:v>Users cannot enter the information required for the selected payment method, potentially blocking checkout.</x:v>
      </x:c>
      <x:c r="Q22" s="33" t="str">
        <x:v>Clean and buggy screenshots for each payment method; buggy Error 304 option screenshot.</x:v>
      </x:c>
      <x:c r="R22" s="33" t="str">
        <x:v>Confirmed; numeric rate not supplied</x:v>
      </x:c>
      <x:c r="S22" s="33" t="str">
        <x:v>BUG-018 — Payment Method Does Not Display the Correct Payment Fields.docx</x:v>
      </x:c>
      <x:c r="T22" s="33" t="str"/>
    </x:row>
    <x:row r="23" ht="86" customHeight="1">
      <x:c r="A23" s="35" t="str">
        <x:v>BUG-019</x:v>
      </x:c>
      <x:c r="B23" s="35" t="str">
        <x:v>Compare Button Missing from Product Details Page</x:v>
      </x:c>
      <x:c r="C23" s="35" t="str">
        <x:v>Product Details / Compare</x:v>
      </x:c>
      <x:c r="D23" s="35" t="str">
        <x:v>Functional / UI</x:v>
      </x:c>
      <x:c r="E23" s="35" t="str">
        <x:v>Confirmed</x:v>
      </x:c>
      <x:c r="F23" s="35" t="str">
        <x:v>Medium</x:v>
      </x:c>
      <x:c r="G23" s="35" t="str">
        <x:v>Medium</x:v>
      </x:c>
      <x:c r="H23" s="33" t="str">
        <x:v>The Compare functionality is available on the product details page in the clean application but is missing from the corresponding product details page in the buggy application.</x:v>
      </x:c>
      <x:c r="I23" s="33" t="str">
        <x:v>User is able to access the product details page. The same product is available in both the clean and buggy applications. Product used for comparison: Product: Bolt Cutters Price: $48.41</x:v>
      </x:c>
      <x:c r="J23" s="33" t="str">
        <x:v>Open the clean application. Navigate to the Bolt Cutters product details page. Observe the available product action buttons. Verify that the Compare button is displayed. Open the corresponding Bolt Cutters product details page in the buggy application. Observe the available product action buttons. Compare the buggy application with the clean application. Verify whether the Compare button is available.</x:v>
      </x:c>
      <x:c r="K23" s="33" t="str">
        <x:v>The product details page should provide the Compare functionality. The Compare button should be displayed along with the other supported product actions, such as: Add to Cart Add to Favourites Compare</x:v>
      </x:c>
      <x:c r="L23" s="33" t="str">
        <x:v>The Compare button is present in the clean application but is missing from the buggy application. In the buggy application, the available actions are: Add to Cart Add to Favourites The Compare action is not displayed.</x:v>
      </x:c>
      <x:c r="M23" s="33" t="str">
        <x:v>TC-020 — Verify Compare Product functionality TC-021 — Verify product details page actions TC-022 — Verify consistency of product details page between supported application versions Technique: Comparison Testing / Checklist Testing Initial Severity: Medium Initial Priority: Medium Preconditions User is able to access the product details page. The same product is available in both the clean and buggy applications. Product used for comparison: Product: Bolt Cutters Price: $48.41 Re-execution Step…</x:v>
      </x:c>
      <x:c r="N23" s="33" t="str">
        <x:v>Comparison Testing / Checklist Testing</x:v>
      </x:c>
      <x:c r="O23" s="33" t="str">
        <x:v>Not applicable or no API defect claimed.</x:v>
      </x:c>
      <x:c r="P23" s="33" t="str">
        <x:v>The Compare functionality is available on the product details page in the clean application but is missing from the corresponding product details page in the buggy application.</x:v>
      </x:c>
      <x:c r="Q23" s="33" t="str">
        <x:v>Clean Application Evidence: Product: Bolt Cutters Price: $48.41 Clean application displays: Add to Cart Add to Favourites Compare Buggy Application Evidence: Product: Bolt Cutters Price: $48.41 Buggy application displays: Add to Cart Add to Favourites Compare button missing Screenshots: Clean product details screenshot: ________________ Buggy product details screenshot: ________________</x:v>
      </x:c>
      <x:c r="R23" s="33" t="str">
        <x:v>100% on tested product</x:v>
      </x:c>
      <x:c r="S23" s="33" t="str">
        <x:v>BUG-019 — Compare Button Missing from Product Details Page.docx</x:v>
      </x:c>
      <x:c r="T23" s="33" t="str"/>
    </x:row>
    <x:row r="24" ht="86" customHeight="1">
      <x:c r="A24" s="35" t="str">
        <x:v>BUG-020</x:v>
      </x:c>
      <x:c r="B24" s="35" t="str">
        <x:v>Product Specifications Section Missing from Product Details Page</x:v>
      </x:c>
      <x:c r="C24" s="35" t="str">
        <x:v>Product Details / Specifications</x:v>
      </x:c>
      <x:c r="D24" s="35" t="str">
        <x:v>Functional / Content</x:v>
      </x:c>
      <x:c r="E24" s="35" t="str">
        <x:v>Confirmed</x:v>
      </x:c>
      <x:c r="F24" s="35" t="str">
        <x:v>Medium</x:v>
      </x:c>
      <x:c r="G24" s="35" t="str">
        <x:v>High</x:v>
      </x:c>
      <x:c r="H24" s="33" t="str">
        <x:v>The Specifications section containing product-specific technical attributes is available on the product details page in the clean application but is completely missing from the corresponding product details page in the buggy application.</x:v>
      </x:c>
      <x:c r="I24" s="33" t="str">
        <x:v>User is able to access the product details page. The same product is available in both the clean and buggy applications. Product used for comparison: Product: Bolt Cutters Price: $48.41</x:v>
      </x:c>
      <x:c r="J24" s="33" t="str">
        <x:v>Open the clean application. Navigate to the Bolt Cutters product details page. Scroll below the product description. Locate the Specifications section. Record the specifications displayed for the product. Open the corresponding Bolt Cutters product details page in the buggy application. Scroll through the complete product details page. Check whether the Specifications section is displayed. Compare the product information between the clean and buggy applications.</x:v>
      </x:c>
      <x:c r="K24" s="33" t="str">
        <x:v>The product details page should display the supported Specifications section containing the product's technical attributes. For the tested Bolt Cutters product, the clean application displays</x:v>
      </x:c>
      <x:c r="L24" s="33" t="str">
        <x:v>The Specifications section is completely missing from the buggy application. The product page displays the product image, product name, price, description, quantity controls and other available actions, but the technical Specifications section is not displayed. Therefore, the following product information available in the clean application is unavailable on the buggy application: Handle Material Length Material Max Cutting Capacity Warranty Weight</x:v>
      </x:c>
      <x:c r="M24" s="33" t="str">
        <x:v>TC-023 — Verify product specifications TC-021 — Verify product details page information TC-022 — Verify consistency of product details between supported application versions Technique: Comparison Testing / Checklist Testing Initial Severity: Medium Initial Priority: High Preconditions User is able to access the product details page. The same product is available in both the clean and buggy applications. Product used for comparison: Product: Bolt Cutters Price: $48.41 Re-execution Steps Open the…</x:v>
      </x:c>
      <x:c r="N24" s="33" t="str">
        <x:v>Comparison Testing / Checklist Testing</x:v>
      </x:c>
      <x:c r="O24" s="33" t="str">
        <x:v>Not applicable or no API defect claimed.</x:v>
      </x:c>
      <x:c r="P24" s="33" t="str">
        <x:v>The Specifications section containing product-specific technical attributes is available on the product details page in the clean application but is completely missing from the corresponding product details page in the buggy application.</x:v>
      </x:c>
      <x:c r="Q24" s="33" t="str">
        <x:v>Clean Application Evidence: The clean application displays a Specifications section below the product information containing: Handle Material: Rubber Length: 750 mm Material: Hardened Steel Max Cutting Capacity: 10 mm Warranty: 3 years Weight: 2100 g Buggy Application Evidence: The corresponding product page does not display the Specifications section. Screenshots: Clean product details screenshot: ________________ Buggy product details screenshot: ________________</x:v>
      </x:c>
      <x:c r="R24" s="33" t="str">
        <x:v>100% on tested product</x:v>
      </x:c>
      <x:c r="S24" s="33" t="str">
        <x:v>BUG-020 — Product Specifications Section Missing from Product Details Page.docx</x:v>
      </x:c>
      <x:c r="T24" s="33" t="str"/>
    </x:row>
    <x:row r="25" ht="86" customHeight="1">
      <x:c r="A25" s="35" t="str">
        <x:v>BUG-021</x:v>
      </x:c>
      <x:c r="B25" s="35" t="str">
        <x:v>Password Hash Exposed in User-Facing /users/me API Response</x:v>
      </x:c>
      <x:c r="C25" s="35" t="str">
        <x:v>Security / User Profile API</x:v>
      </x:c>
      <x:c r="D25" s="35" t="str">
        <x:v>Security / API Data Exposure</x:v>
      </x:c>
      <x:c r="E25" s="35" t="str">
        <x:v>Confirmed</x:v>
      </x:c>
      <x:c r="F25" s="35" t="str">
        <x:v>Critical</x:v>
      </x:c>
      <x:c r="G25" s="35" t="str">
        <x:v>Critical</x:v>
      </x:c>
      <x:c r="H25" s="33" t="str">
        <x:v>The authenticated user information API returns a password/hash field in a normal user-facing API response. The response should not expose password hashes or authentication secrets.</x:v>
      </x:c>
      <x:c r="I25" s="33" t="str">
        <x:v>Open the Bug Hunting Mode application. Use a valid normal-user account. Open DevTools → Network.</x:v>
      </x:c>
      <x:c r="J25" s="33" t="str">
        <x:v>Open the Bug Hunting Mode application. Log in with a valid normal-user account. Open DevTools → Network. Locate the POST /users/login request and confirm successful authentication. Navigate to an authenticated account/profile page so the application requests the current user information. Locate the GET /users/me request. Confirm that the request returns HTTP 200 OK. Open the response/Preview and inspect the returned user fields. Check whether a password/password-hash field is included in the response.</x:v>
      </x:c>
      <x:c r="K25" s="33" t="str">
        <x:v>The /users/me response should return only data required by the client. Password hashes, passwords, tokens, or other authentication secrets should not be exposed in a normal user-facing API response.</x:v>
      </x:c>
      <x:c r="L25" s="33" t="str">
        <x:v>GET /users/me returns HTTP 200 OK and includes a password field containing password-hash information. API Evidence Security Impact Returning password hashes through a client-facing endpoint unnecessarily exposes credential material to the browser/client and any party able to access the response. Hashes should remain server-side and should not be included in ordinary profile/user responses. Exposure increases the impact of any client-side compromise, logging leak, proxy capture, or other unauthorized access to API responses. Clean vs Buggy Assessment The defect is based on the sensitive field being present in the buggy application's authenticated user response. The clean application's user-facing behavior/API should not expose the password/hash field. The actual hash is not reproduced in this report body. Evidence / Attachments The following five screenshots are attached from the previously captured investigation. They document the login, Network requests, request headers/response details, and the API behavior. Evidence 1 — Buggy application account page and Network activity Evidence 2 — Buggy application Network response details Evidence 3 — Buggy application /users/me request hea…</x:v>
      </x:c>
      <x:c r="M25" s="33" t="str">
        <x:v>TC-020 — Verify profile information after login API-003 — Retrieve authenticated user information</x:v>
      </x:c>
      <x:c r="N25" s="33" t="str">
        <x:v>Equivalence Partitioning (EP)</x:v>
      </x:c>
      <x:c r="O25" s="33" t="str">
        <x:v>Not applicable or no API defect claimed.</x:v>
      </x:c>
      <x:c r="P25" s="33" t="str">
        <x:v>Returning password hashes through a client-facing endpoint unnecessarily exposes credential material to the browser/client and any party able to access the response. Hashes should remain server-side and should not be included in ordinary profile/user responses. Exposure increases the impact of any client-side compromise, logging leak, proxy capture, or other unauthorized access to API responses.</x:v>
      </x:c>
      <x:c r="Q25" s="33" t="str">
        <x:v>The following five screenshots are attached from the previously captured investigation. They document the login, Network requests, request headers/response details, and the API behavior. Evidence 1 — Buggy application account page and Network activity Evidence 2 — Buggy application Network response details Evidence 3 — Buggy application /users/me request headers Evidence 4 — Buggy application API response / payload evidence Evidence 5 — Additional /users/me Network evidence</x:v>
      </x:c>
      <x:c r="R25" s="33" t="str">
        <x:v>Confirmed in captured session</x:v>
      </x:c>
      <x:c r="S25" s="33" t="str">
        <x:v>BUG-021_Password_Hash_Exposed.docx</x:v>
      </x:c>
      <x:c r="T25" s="33" t="str">
        <x:v>Sensitive tokens and password-hash values were intentionally omitted from this workbook.</x:v>
      </x:c>
    </x:row>
    <x:row r="26" ht="86" customHeight="1">
      <x:c r="A26" s="35" t="str">
        <x:v>BUG-022</x:v>
      </x:c>
      <x:c r="B26" s="35" t="str">
        <x:v>Home Navigation Link Redirects to Contact Page from Hand Tools Category</x:v>
      </x:c>
      <x:c r="C26" s="35" t="str">
        <x:v>Navigation / Home Link</x:v>
      </x:c>
      <x:c r="D26" s="35" t="str">
        <x:v>Functional / Navigation</x:v>
      </x:c>
      <x:c r="E26" s="35" t="str">
        <x:v>Confirmed</x:v>
      </x:c>
      <x:c r="F26" s="35" t="str">
        <x:v>Medium</x:v>
      </x:c>
      <x:c r="G26" s="35" t="str">
        <x:v>High</x:v>
      </x:c>
      <x:c r="H26" s="33" t="str">
        <x:v>The Home navigation link incorrectly opens the Contact page when selected from the Hand Tools category in Bug Hunting Mode. In the clean application, the same action correctly opens the Home page.</x:v>
      </x:c>
      <x:c r="I26" s="33" t="str">
        <x:v>Open the Bug Hunting Mode application. Have access to the Categories navigation. Use the clean application as the expected-behavior reference.</x:v>
      </x:c>
      <x:c r="J26" s="33" t="str">
        <x:v>Open the Bug Hunting Mode application. Navigate to Categories. Select Hand Tools. Verify that the Category: Hand Tools page is displayed. Click the Home link in the top navigation bar. Observe the destination page.</x:v>
      </x:c>
      <x:c r="K26" s="33" t="str">
        <x:v>Clicking Home from the Hand Tools category should navigate the user to the Home page.</x:v>
      </x:c>
      <x:c r="L26" s="33" t="str">
        <x:v>Clicking Home from the Hand Tools category navigates the user to the Contact page instead of the Home page. Clean vs Buggy Comparison Navigation Evidence The screenshots below directly establish the defect by comparing the clean and buggy flows. The network screenshot is supplementary investigation evidence and is not required to establish the functional defect. Evidence 1 — Clean app: Categories → Hand Tools starting page Evidence 2 — Clean app: Home page after clicking Home Evidence 3 — Buggy app: Categories → Hand Tools starting page Evidence 4 — Buggy app: Contact page after clicking Home Evidence 5 — Supplementary buggy-app Network evidence during the Contact-page state Why This Is a Valid Bug The same user action has different outcomes in the clean and buggy applications. The clean application takes the user to Home, while the buggy application takes the user to Contact. This is a user-visible, functional navigation defect and is independently reportable from the password-hash security defect.</x:v>
      </x:c>
      <x:c r="M26" s="33" t="str">
        <x:v>Navigation — Categories → Hand Tools → Home</x:v>
      </x:c>
      <x:c r="N26" s="33" t="str">
        <x:v>State Transition / Comparison Testing</x:v>
      </x:c>
      <x:c r="O26" s="33" t="str">
        <x:v>Not applicable or no API defect claimed.</x:v>
      </x:c>
      <x:c r="P26" s="33" t="str">
        <x:v>The Home navigation link incorrectly opens the Contact page when selected from the Hand Tools category in Bug Hunting Mode. In the clean application, the same action correctly opens the Home page.</x:v>
      </x:c>
      <x:c r="Q26" s="33" t="str">
        <x:v>Screenshots attached in source document</x:v>
      </x:c>
      <x:c r="R26" s="33" t="str">
        <x:v>Confirmed in captured comparison</x:v>
      </x:c>
      <x:c r="S26" s="33" t="str">
        <x:v>BUG-022_Home_Link_Redirects_to_Contact.docx</x:v>
      </x:c>
      <x:c r="T26" s="33" t="str"/>
    </x:row>
  </x:sheetData>
  <x:mergeCells>
    <x:mergeCell ref="A2:T2"/>
    <x:mergeCell ref="A3:T3"/>
  </x:mergeCells>
  <x:conditionalFormatting sqref="F5:F26">
    <x:cfRule type="containsText" dxfId="0" priority="1" operator="containsText" text="Critical"/>
    <x:cfRule type="containsText" dxfId="1" priority="2" operator="containsText" text="High"/>
  </x:conditionalFormatting>
  <x:conditionalFormatting sqref="G5:G26">
    <x:cfRule type="containsText" dxfId="2" priority="3" operator="containsText" text="Critical"/>
    <x:cfRule type="containsText" dxfId="3" priority="4" operator="containsText" text="High"/>
  </x:conditionalFormatting>
  <x:pageMargins left="0.7" right="0.7" top="0.75" bottom="0.75" header="0.3" footer="0.3"/>
  <x:tableParts count="1">
    <x:tablePart xmlns:r="http://schemas.openxmlformats.org/officeDocument/2006/relationships" r:id="R5251e65384534a72"/>
  </x:tableParts>
</x:worksheet>
</file>

<file path=xl/worksheets/sheet3.xml><?xml version="1.0" encoding="utf-8"?>
<x:worksheet xmlns:x="http://schemas.openxmlformats.org/spreadsheetml/2006/main">
  <x:sheetPr>
    <x:tabColor rgb="FF8EA9DB"/>
  </x:sheetPr>
  <x:sheetViews>
    <x:sheetView showGridLines="0" workbookViewId="0">
      <x:pane ySplit="4" topLeftCell="A5" activePane="bottomLeft" state="frozen"/>
    </x:sheetView>
  </x:sheetViews>
  <x:sheetFormatPr defaultRowHeight="15"/>
  <x:cols>
    <x:col min="1" max="1" width="62" hidden="0" customWidth="1"/>
    <x:col min="2" max="2" width="28" hidden="0" customWidth="1"/>
    <x:col min="3" max="3" width="34" hidden="0" customWidth="1"/>
    <x:col min="4" max="4" width="26" hidden="0" customWidth="1"/>
  </x:cols>
  <x:sheetData>
    <x:row r="2">
      <x:c r="A2" s="1" t="str">
        <x:v>Source Document Index</x:v>
      </x:c>
    </x:row>
    <x:row r="3">
      <x:c r="A3" s="17" t="str">
        <x:v>Audit trail for every document supplied in the ZIP. Duplicate/supporting reports are mapped to the canonical bug ID.</x:v>
      </x:c>
    </x:row>
    <x:row r="4">
      <x:c r="A4" s="37" t="str">
        <x:v>Source File</x:v>
      </x:c>
      <x:c r="B4" s="37" t="str">
        <x:v>Classification</x:v>
      </x:c>
      <x:c r="C4" s="37" t="str">
        <x:v>Mapped Bug</x:v>
      </x:c>
      <x:c r="D4" s="37" t="str">
        <x:v>Included in Register</x:v>
      </x:c>
    </x:row>
    <x:row r="5" ht="34" customHeight="1">
      <x:c r="A5" s="45" t="str">
        <x:v>BUG-001 — Incorrect Category Options _ Invalid Category Navigation.docx</x:v>
      </x:c>
      <x:c r="B5" s="45" t="str">
        <x:v>Bug document</x:v>
      </x:c>
      <x:c r="C5" s="45" t="str">
        <x:v>BUG-001</x:v>
      </x:c>
      <x:c r="D5" s="45" t="str">
        <x:v>Yes</x:v>
      </x:c>
    </x:row>
    <x:row r="6" ht="34" customHeight="1">
      <x:c r="A6" s="46" t="str">
        <x:v>BUG-002 — Brand Filter Not Working Correctly.docx</x:v>
      </x:c>
      <x:c r="B6" s="46" t="str">
        <x:v>Bug document</x:v>
      </x:c>
      <x:c r="C6" s="46" t="str">
        <x:v>BUG-002</x:v>
      </x:c>
      <x:c r="D6" s="46" t="str">
        <x:v>Yes</x:v>
      </x:c>
    </x:row>
    <x:row r="7" ht="34" customHeight="1">
      <x:c r="A7" s="46" t="str">
        <x:v>BUG-003 — Product Sorting Does Not Match Selected Option.docx</x:v>
      </x:c>
      <x:c r="B7" s="46" t="str">
        <x:v>Bug document</x:v>
      </x:c>
      <x:c r="C7" s="46" t="str">
        <x:v>BUG-003</x:v>
      </x:c>
      <x:c r="D7" s="46" t="str">
        <x:v>Yes</x:v>
      </x:c>
    </x:row>
    <x:row r="8" ht="34" customHeight="1">
      <x:c r="A8" s="46" t="str">
        <x:v>BUG-004 — Product Quantity Controls Do Not Work.docx</x:v>
      </x:c>
      <x:c r="B8" s="46" t="str">
        <x:v>Bug document</x:v>
      </x:c>
      <x:c r="C8" s="46" t="str">
        <x:v>BUG-004</x:v>
      </x:c>
      <x:c r="D8" s="46" t="str">
        <x:v>Yes</x:v>
      </x:c>
    </x:row>
    <x:row r="9" ht="34" customHeight="1">
      <x:c r="A9" s="46" t="str">
        <x:v>BUG-005 — Add to Cart Displays Error Toast Although Product Is Added.docx</x:v>
      </x:c>
      <x:c r="B9" s="46" t="str">
        <x:v>Bug document</x:v>
      </x:c>
      <x:c r="C9" s="46" t="str">
        <x:v>BUG-005</x:v>
      </x:c>
      <x:c r="D9" s="46" t="str">
        <x:v>Yes</x:v>
      </x:c>
    </x:row>
    <x:row r="10" ht="34" customHeight="1">
      <x:c r="A10" s="46" t="str">
        <x:v>BUG-006 — Cart Line-Item Total Displays $00.00.docx</x:v>
      </x:c>
      <x:c r="B10" s="46" t="str">
        <x:v>Bug document</x:v>
      </x:c>
      <x:c r="C10" s="46" t="str">
        <x:v>BUG-006</x:v>
      </x:c>
      <x:c r="D10" s="46" t="str">
        <x:v>Yes</x:v>
      </x:c>
    </x:row>
    <x:row r="11" ht="34" customHeight="1">
      <x:c r="A11" s="46" t="str">
        <x:v>BUG-007 — Continue Shopping Button Missing.docx</x:v>
      </x:c>
      <x:c r="B11" s="46" t="str">
        <x:v>Bug document</x:v>
      </x:c>
      <x:c r="C11" s="46" t="str">
        <x:v>BUG-007</x:v>
      </x:c>
      <x:c r="D11" s="46" t="str">
        <x:v>Yes</x:v>
      </x:c>
    </x:row>
    <x:row r="12" ht="34" customHeight="1">
      <x:c r="A12" s="46" t="str">
        <x:v>BUG-008 — Toolshop Title Missing From Cart page.docx</x:v>
      </x:c>
      <x:c r="B12" s="46" t="str">
        <x:v>Bug document</x:v>
      </x:c>
      <x:c r="C12" s="46" t="str">
        <x:v>BUG-008</x:v>
      </x:c>
      <x:c r="D12" s="46" t="str">
        <x:v>Yes</x:v>
      </x:c>
    </x:row>
    <x:row r="13" ht="34" customHeight="1">
      <x:c r="A13" s="46" t="str">
        <x:v>BUG-009 — _Contakt_ Displayed Instead of _Contact_.docx</x:v>
      </x:c>
      <x:c r="B13" s="46" t="str">
        <x:v>Bug document</x:v>
      </x:c>
      <x:c r="C13" s="46" t="str">
        <x:v>BUG-009</x:v>
      </x:c>
      <x:c r="D13" s="46" t="str">
        <x:v>Yes</x:v>
      </x:c>
    </x:row>
    <x:row r="14" ht="34" customHeight="1">
      <x:c r="A14" s="46" t="str">
        <x:v>BUG-010 — Logged-in User Displays _User Data not found_ (1).docx</x:v>
      </x:c>
      <x:c r="B14" s="46" t="str">
        <x:v>Bug document</x:v>
      </x:c>
      <x:c r="C14" s="46" t="str">
        <x:v>BUG-010</x:v>
      </x:c>
      <x:c r="D14" s="46" t="str">
        <x:v>Yes</x:v>
      </x:c>
    </x:row>
    <x:row r="15" ht="34" customHeight="1">
      <x:c r="A15" s="46" t="str">
        <x:v>BUG-011 — Cart Product Removal Does Not Behave Correctly.docx</x:v>
      </x:c>
      <x:c r="B15" s="46" t="str">
        <x:v>Bug document</x:v>
      </x:c>
      <x:c r="C15" s="46" t="str">
        <x:v>BUG-011</x:v>
      </x:c>
      <x:c r="D15" s="46" t="str">
        <x:v>Yes</x:v>
      </x:c>
    </x:row>
    <x:row r="16" ht="34" customHeight="1">
      <x:c r="A16" s="46" t="str">
        <x:v>BUG-012 — Required Billing Fields Missing.docx</x:v>
      </x:c>
      <x:c r="B16" s="46" t="str">
        <x:v>Bug document</x:v>
      </x:c>
      <x:c r="C16" s="46" t="str">
        <x:v>BUG-012</x:v>
      </x:c>
      <x:c r="D16" s="46" t="str">
        <x:v>Yes</x:v>
      </x:c>
    </x:row>
    <x:row r="17" ht="34" customHeight="1">
      <x:c r="A17" s="46" t="str">
        <x:v>BUG-013 — Billing Address_ “Proceed to checkout” Button Has No Visible Label.docx</x:v>
      </x:c>
      <x:c r="B17" s="46" t="str">
        <x:v>Bug document</x:v>
      </x:c>
      <x:c r="C17" s="46" t="str">
        <x:v>BUG-013</x:v>
      </x:c>
      <x:c r="D17" s="46" t="str">
        <x:v>Yes</x:v>
      </x:c>
    </x:row>
    <x:row r="18" ht="34" customHeight="1">
      <x:c r="A18" s="46" t="str">
        <x:v>BUG-014 — Login Page_Header Contains Missing and Incorrect UI Elements.docx</x:v>
      </x:c>
      <x:c r="B18" s="46" t="str">
        <x:v>Bug document</x:v>
      </x:c>
      <x:c r="C18" s="46" t="str">
        <x:v>BUG-014</x:v>
      </x:c>
      <x:c r="D18" s="46" t="str">
        <x:v>Yes</x:v>
      </x:c>
    </x:row>
    <x:row r="19" ht="34" customHeight="1">
      <x:c r="A19" s="46" t="str">
        <x:v>BUG-015 — Cart Quantity Update Does Not Trigger Expected Update Behaviour.docx</x:v>
      </x:c>
      <x:c r="B19" s="46" t="str">
        <x:v>Bug document</x:v>
      </x:c>
      <x:c r="C19" s="46" t="str">
        <x:v>BUG-015</x:v>
      </x:c>
      <x:c r="D19" s="46" t="str">
        <x:v>Yes</x:v>
      </x:c>
    </x:row>
    <x:row r="20" ht="34" customHeight="1">
      <x:c r="A20" s="46" t="str">
        <x:v>BUG-016 — Payment Method Dropdown Displays Invalid Option.docx</x:v>
      </x:c>
      <x:c r="B20" s="46" t="str">
        <x:v>Bug document</x:v>
      </x:c>
      <x:c r="C20" s="46" t="str">
        <x:v>BUG-016</x:v>
      </x:c>
      <x:c r="D20" s="46" t="str">
        <x:v>Yes</x:v>
      </x:c>
    </x:row>
    <x:row r="21" ht="34" customHeight="1">
      <x:c r="A21" s="46" t="str">
        <x:v>BUG-017 — Payment Account Fields Displayed Before Payment Method Selection.docx</x:v>
      </x:c>
      <x:c r="B21" s="46" t="str">
        <x:v>Bug document</x:v>
      </x:c>
      <x:c r="C21" s="46" t="str">
        <x:v>BUG-017</x:v>
      </x:c>
      <x:c r="D21" s="46" t="str">
        <x:v>Yes</x:v>
      </x:c>
    </x:row>
    <x:row r="22" ht="34" customHeight="1">
      <x:c r="A22" s="46" t="str">
        <x:v>BUG-018 — Payment Method Does Not Display the Correct Payment Fields.docx</x:v>
      </x:c>
      <x:c r="B22" s="46" t="str">
        <x:v>Bug document</x:v>
      </x:c>
      <x:c r="C22" s="46" t="str">
        <x:v>BUG-018</x:v>
      </x:c>
      <x:c r="D22" s="46" t="str">
        <x:v>Yes</x:v>
      </x:c>
    </x:row>
    <x:row r="23" ht="34" customHeight="1">
      <x:c r="A23" s="46" t="str">
        <x:v>BUG-019 — Compare Button Missing from Product Details Page.docx</x:v>
      </x:c>
      <x:c r="B23" s="46" t="str">
        <x:v>Bug document</x:v>
      </x:c>
      <x:c r="C23" s="46" t="str">
        <x:v>BUG-019</x:v>
      </x:c>
      <x:c r="D23" s="46" t="str">
        <x:v>Yes</x:v>
      </x:c>
    </x:row>
    <x:row r="24" ht="34" customHeight="1">
      <x:c r="A24" s="46" t="str">
        <x:v>BUG-020 — Product Specifications Section Missing from Product Details Page.docx</x:v>
      </x:c>
      <x:c r="B24" s="46" t="str">
        <x:v>Bug document</x:v>
      </x:c>
      <x:c r="C24" s="46" t="str">
        <x:v>BUG-020</x:v>
      </x:c>
      <x:c r="D24" s="46" t="str">
        <x:v>Yes</x:v>
      </x:c>
    </x:row>
    <x:row r="25" ht="34" customHeight="1">
      <x:c r="A25" s="46" t="str">
        <x:v>BUG-021_Password_Hash_Exposed.docx</x:v>
      </x:c>
      <x:c r="B25" s="46" t="str">
        <x:v>Bug document</x:v>
      </x:c>
      <x:c r="C25" s="46" t="str">
        <x:v>BUG-021</x:v>
      </x:c>
      <x:c r="D25" s="46" t="str">
        <x:v>Yes</x:v>
      </x:c>
    </x:row>
    <x:row r="26" ht="34" customHeight="1">
      <x:c r="A26" s="46" t="str">
        <x:v>BUG-022_Home_Link_Redirects_to_Contact.docx</x:v>
      </x:c>
      <x:c r="B26" s="46" t="str">
        <x:v>Bug document</x:v>
      </x:c>
      <x:c r="C26" s="46" t="str">
        <x:v>BUG-022</x:v>
      </x:c>
      <x:c r="D26" s="46" t="str">
        <x:v>Yes</x:v>
      </x:c>
    </x:row>
    <x:row r="27" ht="34" customHeight="1">
      <x:c r="A27" s="46" t="str">
        <x:v>Bug 28 (1).docx</x:v>
      </x:c>
      <x:c r="B27" s="46" t="str">
        <x:v>Bug document</x:v>
      </x:c>
      <x:c r="C27" s="46" t="str">
        <x:v>Duplicate/supporting evidence for BUG-022</x:v>
      </x:c>
      <x:c r="D27" s="46" t="str">
        <x:v>Supporting / duplicate only</x:v>
      </x:c>
    </x:row>
    <x:row r="28" ht="34" customHeight="1">
      <x:c r="A28" s="46" t="str">
        <x:v>Practice_Software_Testing_Bug_Report_Users_Me_Password_Hash.docx</x:v>
      </x:c>
      <x:c r="B28" s="46" t="str">
        <x:v>Bug document</x:v>
      </x:c>
      <x:c r="C28" s="46" t="str">
        <x:v>Duplicate/supporting report for BUG-021</x:v>
      </x:c>
      <x:c r="D28" s="46" t="str">
        <x:v>Supporting / duplicate only</x:v>
      </x:c>
    </x:row>
    <x:row r="29" ht="34" customHeight="1">
      <x:c r="A29" s="47" t="str">
        <x:v>ecommerce app (2).docx</x:v>
      </x:c>
      <x:c r="B29" s="47" t="str">
        <x:v>Supporting exploration document</x:v>
      </x:c>
      <x:c r="C29" s="47" t="str"/>
      <x:c r="D29" s="47" t="str">
        <x:v>Supporting / duplicate only</x:v>
      </x:c>
    </x:row>
  </x:sheetData>
  <x:mergeCells>
    <x:mergeCell ref="A2:D2"/>
    <x:mergeCell ref="A3:D3"/>
  </x:mergeCells>
  <x:pageMargins left="0.7" right="0.7" top="0.75" bottom="0.75" header="0.3" footer="0.3"/>
  <x:tableParts count="1">
    <x:tablePart xmlns:r="http://schemas.openxmlformats.org/officeDocument/2006/relationships" r:id="R44b27c734d614ce9"/>
  </x:tableParts>
</x:worksheet>
</file>